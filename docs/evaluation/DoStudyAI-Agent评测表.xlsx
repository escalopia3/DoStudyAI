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e415c6c4b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总览" sheetId="1" r:id="Rc01a7543074f4dfe"/>
    <x:sheet xmlns:r="http://schemas.openxmlformats.org/officeDocument/2006/relationships" name="问题集" sheetId="2" r:id="Recff075a391344af"/>
    <x:sheet xmlns:r="http://schemas.openxmlformats.org/officeDocument/2006/relationships" name="运行记录" sheetId="3" r:id="Rdb2ea6a1d0ea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8">
    <x:font>
      <x:sz val="11"/>
      <x:name val="Carlito"/>
    </x:font>
    <x:font>
      <x:b/>
      <x:sz val="10"/>
      <x:color rgb="FFFFFFFF"/>
      <x:name val="Microsoft YaHei"/>
    </x:font>
    <x:font>
      <x:b/>
      <x:sz val="16"/>
      <x:color rgb="FF173F5F"/>
      <x:name val="Microsoft YaHei"/>
    </x:font>
    <x:font>
      <x:i/>
      <x:sz val="10"/>
      <x:color rgb="FF555555"/>
      <x:name val="Microsoft YaHei"/>
    </x:font>
    <x:font>
      <x:sz val="10"/>
      <x:color rgb="FF222222"/>
      <x:name val="Microsoft YaHei"/>
    </x:font>
    <x:font>
      <x:sz val="9"/>
      <x:color rgb="FF222222"/>
      <x:name val="Microsoft YaHei"/>
    </x:font>
    <x:font>
      <x:sz val="10"/>
      <x:name val="Microsoft YaHei"/>
    </x:font>
    <x:font>
      <x:sz val="10"/>
      <x:color rgb="FF33333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E1E8"/>
      </x:bottom>
      <x:diagonal/>
    </x:border>
    <x:border>
      <x:left/>
      <x:right/>
      <x:top style="thin">
        <x:color rgb="FFD9E1E8"/>
      </x:top>
      <x:bottom style="thin">
        <x:color rgb="FFD9E1E8"/>
      </x:bottom>
      <x:diagonal/>
    </x:border>
    <x:border>
      <x:left/>
      <x:right/>
      <x:top style="thin">
        <x:color rgb="FFD9E1E8"/>
      </x:top>
      <x:bottom/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7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6" fillId="0" borderId="0" xfId="0" applyNumberFormat="1" applyFont="1" applyFill="1" applyBorder="1"/>
    <x:xf numFmtId="200" fontId="5" fillId="0" borderId="7" xfId="0" applyNumberFormat="1" applyFont="1" applyFill="1" applyBorder="1" applyAlignment="1">
      <x:alignment vertical="top"/>
    </x:xf>
    <x:xf numFmtId="200" fontId="5" fillId="0" borderId="8" xfId="0" applyNumberFormat="1" applyFont="1" applyFill="1" applyBorder="1" applyAlignment="1">
      <x:alignment vertical="top"/>
    </x:xf>
    <x:xf numFmtId="200" fontId="5" fillId="0" borderId="9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color rgb="FF166534"/>
      </x:font>
      <x:fill>
        <x:patternFill patternType="solid">
          <x:bgColor rgb="FFECFD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23ee619f04370" /><Relationship Type="http://schemas.openxmlformats.org/officeDocument/2006/relationships/theme" Target="/xl/theme/theme1.xml" Id="Rba0717bffceb4979" /><Relationship Type="http://schemas.openxmlformats.org/officeDocument/2006/relationships/sharedStrings" Target="/xl/sharedStrings.xml" Id="R490920c9ff1a4f5c" /><Relationship Type="http://schemas.openxmlformats.org/officeDocument/2006/relationships/worksheet" Target="/xl/worksheets/sheet1.xml" Id="Rc01a7543074f4dfe" /><Relationship Type="http://schemas.openxmlformats.org/officeDocument/2006/relationships/worksheet" Target="/xl/worksheets/sheet2.xml" Id="Recff075a391344af" /><Relationship Type="http://schemas.openxmlformats.org/officeDocument/2006/relationships/worksheet" Target="/xl/worksheets/sheet3.xml" Id="Rdb2ea6a1d0ea41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5F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" hidden="0" customWidth="1"/>
    <x:col min="4" max="4" width="20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A2" s="15" t="str">
        <x:v>DoStudyAI Agent 评测总览</x:v>
      </x:c>
      <x:c r="B2" s="15"/>
      <x:c r="C2" s="15"/>
      <x:c r="D2" s="15"/>
      <x:c r="E2" s="15"/>
      <x:c r="F2" s="15"/>
      <x:c r="G2" s="15"/>
      <x:c r="H2" s="15"/>
    </x:row>
    <x:row r="3">
      <x:c r="A3" s="16" t="str">
        <x:v>范围：复变函数第一章三份PPT。题目与答案PDF不进入检索范围。</x:v>
      </x:c>
      <x:c r="B3" s="16"/>
      <x:c r="C3" s="16"/>
      <x:c r="D3" s="16"/>
      <x:c r="E3" s="16"/>
      <x:c r="F3" s="16"/>
      <x:c r="G3" s="16"/>
      <x:c r="H3" s="16"/>
    </x:row>
    <x:row r="5">
      <x:c r="A5" s="12" t="str">
        <x:v>质量指标</x:v>
      </x:c>
      <x:c r="B5" s="14" t="str">
        <x:v>当前结果</x:v>
      </x:c>
      <x:c r="C5" s="34"/>
      <x:c r="D5" s="12" t="str">
        <x:v>运行指标</x:v>
      </x:c>
      <x:c r="E5" s="14" t="str">
        <x:v>当前结果</x:v>
      </x:c>
    </x:row>
    <x:row r="6">
      <x:c r="A6" s="34" t="str">
        <x:v>问题数</x:v>
      </x:c>
      <x:c r="B6" s="34" t="n">
        <x:f>COUNTA('问题集'!A2:A21)</x:f>
        <x:v>20</x:v>
      </x:c>
      <x:c r="C6" s="34"/>
      <x:c r="D6" s="34" t="str">
        <x:v>任务成功率</x:v>
      </x:c>
      <x:c r="E6" s="36" t="n">
        <x:f>IF(COUNTA('运行记录'!E2:E61)=0,"",COUNTIF('运行记录'!E2:E61,"COMPLETED")/COUNTA('运行记录'!E2:E61))</x:f>
        <x:v>0</x:v>
      </x:c>
    </x:row>
    <x:row r="7">
      <x:c r="A7" s="34" t="str">
        <x:v>已完成运行数</x:v>
      </x:c>
      <x:c r="B7" s="34" t="n">
        <x:f>COUNTIF('运行记录'!E2:E61,"COMPLETED")</x:f>
        <x:v>0</x:v>
      </x:c>
      <x:c r="C7" s="34"/>
      <x:c r="D7" s="34" t="str">
        <x:v>无答案拒答准确率</x:v>
      </x:c>
      <x:c r="E7" s="36" t="str">
        <x:f>IF(COUNT('运行记录'!Y2:Y61)=0,"",AVERAGE('运行记录'!Y2:Y61))</x:f>
      </x:c>
    </x:row>
    <x:row r="8">
      <x:c r="A8" s="34" t="str">
        <x:v>平均 Recall@5</x:v>
      </x:c>
      <x:c r="B8" s="36" t="n">
        <x:f>IF(COUNT('运行记录'!J2:J61)=0,"",AVERAGE('运行记录'!J2:J61))</x:f>
        <x:v>0</x:v>
      </x:c>
      <x:c r="C8" s="34"/>
      <x:c r="D8" s="34" t="str">
        <x:v>平均延迟(ms)</x:v>
      </x:c>
      <x:c r="E8" s="34" t="str">
        <x:f>IF(COUNT('运行记录'!Z2:Z61)=0,"",AVERAGE('运行记录'!Z2:Z61))</x:f>
      </x:c>
    </x:row>
    <x:row r="9">
      <x:c r="A9" s="34" t="str">
        <x:v>平均 Recall@10</x:v>
      </x:c>
      <x:c r="B9" s="36" t="n">
        <x:f>IF(COUNT('运行记录'!K2:K61)=0,"",AVERAGE('运行记录'!K2:K61))</x:f>
        <x:v>0</x:v>
      </x:c>
      <x:c r="C9" s="34"/>
      <x:c r="D9" s="34" t="str">
        <x:v>p95延迟(ms)</x:v>
      </x:c>
      <x:c r="E9" s="34" t="str">
        <x:f>IF(COUNT('运行记录'!Z2:Z61)=0,"",_xlfn.PERCENTILE.INC('运行记录'!Z2:Z61,0.95))</x:f>
      </x:c>
    </x:row>
    <x:row r="10">
      <x:c r="A10" s="34" t="str">
        <x:v>平均 MRR@10</x:v>
      </x:c>
      <x:c r="B10" s="36" t="str">
        <x:f>IF(COUNT('运行记录'!M2:M61)=0,"",AVERAGE('运行记录'!M2:M61))</x:f>
      </x:c>
      <x:c r="C10" s="34"/>
      <x:c r="D10" s="34" t="str">
        <x:v>平均输入Token</x:v>
      </x:c>
      <x:c r="E10" s="34" t="str">
        <x:f>IF(COUNT('运行记录'!AA2:AA61)=0,"",AVERAGE('运行记录'!AA2:AA61))</x:f>
      </x:c>
    </x:row>
    <x:row r="11">
      <x:c r="A11" s="34" t="str">
        <x:v>平均事实覆盖率</x:v>
      </x:c>
      <x:c r="B11" s="36" t="n">
        <x:f>IF(COUNT('运行记录'!P2:P61)=0,"",AVERAGE('运行记录'!P2:P61))</x:f>
        <x:v>0</x:v>
      </x:c>
      <x:c r="C11" s="34"/>
      <x:c r="D11" s="34" t="str">
        <x:v>平均输出Token</x:v>
      </x:c>
      <x:c r="E11" s="34" t="str">
        <x:f>IF(COUNT('运行记录'!AB2:AB61)=0,"",AVERAGE('运行记录'!AB2:AB61))</x:f>
      </x:c>
    </x:row>
    <x:row r="12">
      <x:c r="A12" s="34" t="str">
        <x:v>平均证据支持率</x:v>
      </x:c>
      <x:c r="B12" s="36" t="str">
        <x:f>IF(COUNT('运行记录'!S2:S61)=0,"",AVERAGE('运行记录'!S2:S61))</x:f>
      </x:c>
      <x:c r="C12" s="34"/>
      <x:c r="D12" s="34" t="str">
        <x:v>平均检索轮数</x:v>
      </x:c>
      <x:c r="E12" s="34" t="str">
        <x:f>IF(COUNT('运行记录'!AD2:AD61)=0,"",AVERAGE('运行记录'!AD2:AD61))</x:f>
      </x:c>
    </x:row>
    <x:row r="13">
      <x:c r="A13" s="34" t="str">
        <x:v>平均引用准确率</x:v>
      </x:c>
      <x:c r="B13" s="36" t="str">
        <x:f>IF(COUNT('运行记录'!V2:V61)=0,"",AVERAGE('运行记录'!V2:V61))</x:f>
      </x:c>
      <x:c r="C13" s="34"/>
      <x:c r="D13" s="34" t="str">
        <x:v>平均修复轮数</x:v>
      </x:c>
      <x:c r="E13" s="34" t="str">
        <x:f>IF(COUNT('运行记录'!AF2:AF61)=0,"",AVERAGE('运行记录'!AF2:AF61))</x:f>
      </x:c>
    </x:row>
    <x:row r="15">
      <x:c r="A15" s="2" t="str">
        <x:v>使用步骤</x:v>
      </x:c>
      <x:c r="B15" s="2" t="str"/>
      <x:c r="C15" s="2" t="str"/>
      <x:c r="D15" s="2" t="str"/>
      <x:c r="E15" s="2" t="str"/>
      <x:c r="F15" s="2" t="str"/>
      <x:c r="G15" s="2" t="str"/>
      <x:c r="H15" s="2" t="str"/>
    </x:row>
    <x:row r="16">
      <x:c r="A16" s="35" t="str">
        <x:v>1</x:v>
      </x:c>
      <x:c r="B16" s="35" t="str">
        <x:v>等待三份PPT全部READY，固定模型、Prompt、索引版本和预算。</x:v>
      </x:c>
      <x:c r="C16" s="35" t="str"/>
      <x:c r="D16" s="35" t="str"/>
      <x:c r="E16" s="35" t="str"/>
      <x:c r="F16" s="35" t="str"/>
      <x:c r="G16" s="35" t="str"/>
      <x:c r="H16" s="35" t="str"/>
    </x:row>
    <x:row r="17">
      <x:c r="A17" s="35" t="str">
        <x:v>2</x:v>
      </x:c>
      <x:c r="B17" s="35" t="str">
        <x:v>每道题新建对话，只授权三份PPT，每题运行3次。</x:v>
      </x:c>
      <x:c r="C17" s="35" t="str"/>
      <x:c r="D17" s="35" t="str"/>
      <x:c r="E17" s="35" t="str"/>
      <x:c r="F17" s="35" t="str"/>
      <x:c r="G17" s="35" t="str"/>
      <x:c r="H17" s="35" t="str"/>
    </x:row>
    <x:row r="18">
      <x:c r="A18" s="35" t="str">
        <x:v>3</x:v>
      </x:c>
      <x:c r="B18" s="35" t="str">
        <x:v>将检索Top-K、回答、引用、Token和Trace填写到运行记录。</x:v>
      </x:c>
      <x:c r="C18" s="35" t="str"/>
      <x:c r="D18" s="35" t="str"/>
      <x:c r="E18" s="35" t="str"/>
      <x:c r="F18" s="35" t="str"/>
      <x:c r="G18" s="35" t="str"/>
      <x:c r="H18" s="35" t="str"/>
    </x:row>
    <x:row r="19">
      <x:c r="A19" s="35" t="str">
        <x:v>4</x:v>
      </x:c>
      <x:c r="B19" s="35" t="str">
        <x:v>人工核对Gold页码和标准知识点，填写命中数和质量评分。</x:v>
      </x:c>
      <x:c r="C19" s="35" t="str"/>
      <x:c r="D19" s="35" t="str"/>
      <x:c r="E19" s="35" t="str"/>
      <x:c r="F19" s="35" t="str"/>
      <x:c r="G19" s="35" t="str"/>
      <x:c r="H19" s="35" t="str"/>
    </x:row>
    <x:row r="20">
      <x:c r="A20" s="35" t="str">
        <x:v>5</x:v>
      </x:c>
      <x:c r="B20" s="35" t="str">
        <x:v>对比Dense、BM25、Hybrid及完整Harness等Variant。</x:v>
      </x:c>
      <x:c r="C20" s="35" t="str"/>
      <x:c r="D20" s="35" t="str"/>
      <x:c r="E20" s="35" t="str"/>
      <x:c r="F20" s="35" t="str"/>
      <x:c r="G20" s="35" t="str"/>
      <x:c r="H20" s="35" t="str"/>
    </x:row>
  </x:sheetData>
  <x:mergeCells>
    <x:mergeCell ref="A2:H2"/>
    <x:mergeCell ref="A3:H3"/>
    <x:mergeCell ref="A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42" hidden="0" customWidth="1"/>
    <x:col min="6" max="6" width="22" hidden="0" customWidth="1"/>
    <x:col min="7" max="7" width="16" hidden="0" customWidth="1"/>
    <x:col min="8" max="8" width="55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 ht="34" customHeight="1">
      <x:c r="A1" s="12" t="str">
        <x:v>ID</x:v>
      </x:c>
      <x:c r="B1" s="13" t="str">
        <x:v>类型</x:v>
      </x:c>
      <x:c r="C1" s="13" t="str">
        <x:v>难度</x:v>
      </x:c>
      <x:c r="D1" s="13" t="str">
        <x:v>可回答</x:v>
      </x:c>
      <x:c r="E1" s="13" t="str">
        <x:v>初始问题</x:v>
      </x:c>
      <x:c r="F1" s="13" t="str">
        <x:v>授权资料</x:v>
      </x:c>
      <x:c r="G1" s="13" t="str">
        <x:v>Gold页码</x:v>
      </x:c>
      <x:c r="H1" s="13" t="str">
        <x:v>标准知识点/预期行为</x:v>
      </x:c>
      <x:c r="I1" s="13" t="str">
        <x:v>Gold证据数</x:v>
      </x:c>
      <x:c r="J1" s="13" t="str">
        <x:v>标准事实数</x:v>
      </x:c>
      <x:c r="K1" s="14" t="str">
        <x:v>标注备注</x:v>
      </x:c>
    </x:row>
    <x:row r="2" ht="72" customHeight="1">
      <x:c r="A2" s="24" t="str">
        <x:v>CA-001</x:v>
      </x:c>
      <x:c r="B2" s="24" t="str">
        <x:v>基础概念</x:v>
      </x:c>
      <x:c r="C2" s="24" t="str">
        <x:v>简单</x:v>
      </x:c>
      <x:c r="D2" s="24" t="str">
        <x:v>是</x:v>
      </x:c>
      <x:c r="E2" s="24" t="str">
        <x:v>复数相等的充分必要条件是什么？</x:v>
      </x:c>
      <x:c r="F2" s="24" t="str">
        <x:v>1.1-3.pptx</x:v>
      </x:c>
      <x:c r="G2" s="24" t="str">
        <x:v>第5页</x:v>
      </x:c>
      <x:c r="H2" s="24" t="str">
        <x:v>两个复数相等，当且仅当实部和虚部分别相等。</x:v>
      </x:c>
      <x:c r="I2" s="24" t="n">
        <x:v>1</x:v>
      </x:c>
      <x:c r="J2" s="24" t="n">
        <x:v>1</x:v>
      </x:c>
      <x:c r="K2" s="24" t="str">
        <x:v>检索定义页</x:v>
      </x:c>
    </x:row>
    <x:row r="3" ht="72" customHeight="1">
      <x:c r="A3" s="25" t="str">
        <x:v>CA-002</x:v>
      </x:c>
      <x:c r="B3" s="25" t="str">
        <x:v>基础概念</x:v>
      </x:c>
      <x:c r="C3" s="25" t="str">
        <x:v>简单</x:v>
      </x:c>
      <x:c r="D3" s="25" t="str">
        <x:v>是</x:v>
      </x:c>
      <x:c r="E3" s="25" t="str">
        <x:v>复数的模和辐角分别表示什么？一个非零复数有多少个辐角？</x:v>
      </x:c>
      <x:c r="F3" s="25" t="str">
        <x:v>1.1-3.pptx</x:v>
      </x:c>
      <x:c r="G3" s="25" t="str">
        <x:v>第13-15页</x:v>
      </x:c>
      <x:c r="H3" s="25" t="str">
        <x:v>模表示向量长度；辐角表示与正实轴夹角；非零复数有无穷多个辐角，彼此相差2kπ。</x:v>
      </x:c>
      <x:c r="I3" s="25" t="n">
        <x:v>3</x:v>
      </x:c>
      <x:c r="J3" s="25" t="n">
        <x:v>3</x:v>
      </x:c>
      <x:c r="K3" s="25" t="str">
        <x:v>覆盖模、辐角和多值性</x:v>
      </x:c>
    </x:row>
    <x:row r="4" ht="72" customHeight="1">
      <x:c r="A4" s="25" t="str">
        <x:v>CA-003</x:v>
      </x:c>
      <x:c r="B4" s="25" t="str">
        <x:v>概念辨析</x:v>
      </x:c>
      <x:c r="C4" s="25" t="str">
        <x:v>中等</x:v>
      </x:c>
      <x:c r="D4" s="25" t="str">
        <x:v>是</x:v>
      </x:c>
      <x:c r="E4" s="25" t="str">
        <x:v>辐角与辐角主值有什么区别？</x:v>
      </x:c>
      <x:c r="F4" s="25" t="str">
        <x:v>1.1-3.pptx</x:v>
      </x:c>
      <x:c r="G4" s="25" t="str">
        <x:v>第14-15页</x:v>
      </x:c>
      <x:c r="H4" s="25" t="str">
        <x:v>辐角是一族相差2kπ的角；主值是规定区间内的唯一代表；零没有确定辐角。</x:v>
      </x:c>
      <x:c r="I4" s="25" t="n">
        <x:v>2</x:v>
      </x:c>
      <x:c r="J4" s="25" t="n">
        <x:v>3</x:v>
      </x:c>
      <x:c r="K4" s="25" t="str">
        <x:v>检查边界表述</x:v>
      </x:c>
    </x:row>
    <x:row r="5" ht="72" customHeight="1">
      <x:c r="A5" s="25" t="str">
        <x:v>CA-004</x:v>
      </x:c>
      <x:c r="B5" s="25" t="str">
        <x:v>表示转换</x:v>
      </x:c>
      <x:c r="C5" s="25" t="str">
        <x:v>中等</x:v>
      </x:c>
      <x:c r="D5" s="25" t="str">
        <x:v>是</x:v>
      </x:c>
      <x:c r="E5" s="25" t="str">
        <x:v>复数的代数形式、三角形式和指数形式如何相互转换？</x:v>
      </x:c>
      <x:c r="F5" s="25" t="str">
        <x:v>1.1-3.pptx</x:v>
      </x:c>
      <x:c r="G5" s="25" t="str">
        <x:v>第19-21页</x:v>
      </x:c>
      <x:c r="H5" s="25" t="str">
        <x:v>由实部虚部求模与辐角；三角形式为r(cosθ+i sinθ)；利用Euler公式写为re^(iθ)。</x:v>
      </x:c>
      <x:c r="I5" s="25" t="n">
        <x:v>3</x:v>
      </x:c>
      <x:c r="J5" s="25" t="n">
        <x:v>3</x:v>
      </x:c>
      <x:c r="K5" s="25" t="str">
        <x:v>允许等价公式</x:v>
      </x:c>
    </x:row>
    <x:row r="6" ht="72" customHeight="1">
      <x:c r="A6" s="25" t="str">
        <x:v>CA-005</x:v>
      </x:c>
      <x:c r="B6" s="25" t="str">
        <x:v>几何解释</x:v>
      </x:c>
      <x:c r="C6" s="25" t="str">
        <x:v>中等</x:v>
      </x:c>
      <x:c r="D6" s="25" t="str">
        <x:v>是</x:v>
      </x:c>
      <x:c r="E6" s="25" t="str">
        <x:v>复数乘法的几何意义是什么？</x:v>
      </x:c>
      <x:c r="F6" s="25" t="str">
        <x:v>1.1-3.pptx</x:v>
      </x:c>
      <x:c r="G6" s="25" t="str">
        <x:v>第24-25页</x:v>
      </x:c>
      <x:c r="H6" s="25" t="str">
        <x:v>乘积的模等于两模之积；辐角等于两辐角之和；几何上对应旋转并按模缩放。</x:v>
      </x:c>
      <x:c r="I6" s="25" t="n">
        <x:v>2</x:v>
      </x:c>
      <x:c r="J6" s="25" t="n">
        <x:v>3</x:v>
      </x:c>
      <x:c r="K6" s="25" t="str">
        <x:v>检查旋转与缩放</x:v>
      </x:c>
    </x:row>
    <x:row r="7" ht="72" customHeight="1">
      <x:c r="A7" s="25" t="str">
        <x:v>CA-006</x:v>
      </x:c>
      <x:c r="B7" s="25" t="str">
        <x:v>运算性质</x:v>
      </x:c>
      <x:c r="C7" s="25" t="str">
        <x:v>中等</x:v>
      </x:c>
      <x:c r="D7" s="25" t="str">
        <x:v>是</x:v>
      </x:c>
      <x:c r="E7" s="25" t="str">
        <x:v>复数乘幂与n次方根在几何上如何分布？</x:v>
      </x:c>
      <x:c r="F7" s="25" t="str">
        <x:v>1.1-3.pptx</x:v>
      </x:c>
      <x:c r="G7" s="25" t="str">
        <x:v>第29-34页</x:v>
      </x:c>
      <x:c r="H7" s="25" t="str">
        <x:v>乘幂的模为原模的n次幂、辐角为n倍；n次方根有n个相异值；各根等角分布在同一圆周。</x:v>
      </x:c>
      <x:c r="I7" s="25" t="n">
        <x:v>4</x:v>
      </x:c>
      <x:c r="J7" s="25" t="n">
        <x:v>3</x:v>
      </x:c>
      <x:c r="K7" s="25" t="str">
        <x:v>多页证据</x:v>
      </x:c>
    </x:row>
    <x:row r="8" ht="72" customHeight="1">
      <x:c r="A8" s="25" t="str">
        <x:v>CA-007</x:v>
      </x:c>
      <x:c r="B8" s="25" t="str">
        <x:v>扩充复平面</x:v>
      </x:c>
      <x:c r="C8" s="25" t="str">
        <x:v>中等</x:v>
      </x:c>
      <x:c r="D8" s="25" t="str">
        <x:v>是</x:v>
      </x:c>
      <x:c r="E8" s="25" t="str">
        <x:v>扩充复平面与复球面之间是什么关系？</x:v>
      </x:c>
      <x:c r="F8" s="25" t="str">
        <x:v>1.1-3.pptx</x:v>
      </x:c>
      <x:c r="G8" s="25" t="str">
        <x:v>第40-43页</x:v>
      </x:c>
      <x:c r="H8" s="25" t="str">
        <x:v>球极投影建立对应；除北极外球面点与有限复平面点一一对应；北极对应唯一无穷远点。</x:v>
      </x:c>
      <x:c r="I8" s="25" t="n">
        <x:v>4</x:v>
      </x:c>
      <x:c r="J8" s="25" t="n">
        <x:v>3</x:v>
      </x:c>
      <x:c r="K8" s="25" t="str">
        <x:v>检查无穷远点</x:v>
      </x:c>
    </x:row>
    <x:row r="9" ht="72" customHeight="1">
      <x:c r="A9" s="25" t="str">
        <x:v>CA-008</x:v>
      </x:c>
      <x:c r="B9" s="25" t="str">
        <x:v>集合与区域</x:v>
      </x:c>
      <x:c r="C9" s="25" t="str">
        <x:v>简单</x:v>
      </x:c>
      <x:c r="D9" s="25" t="str">
        <x:v>是</x:v>
      </x:c>
      <x:c r="E9" s="25" t="str">
        <x:v>邻域、去心邻域、开集和区域之间有什么关系？</x:v>
      </x:c>
      <x:c r="F9" s="25" t="str">
        <x:v>1.4.pptx</x:v>
      </x:c>
      <x:c r="G9" s="25" t="str">
        <x:v>第1-3页</x:v>
      </x:c>
      <x:c r="H9" s="25" t="str">
        <x:v>邻域是以一点为中心的圆形范围；去心邻域排除中心；每一点都是内点的集合为开集；连通开集称为区域。</x:v>
      </x:c>
      <x:c r="I9" s="25" t="n">
        <x:v>3</x:v>
      </x:c>
      <x:c r="J9" s="25" t="n">
        <x:v>4</x:v>
      </x:c>
      <x:c r="K9" s="25" t="str">
        <x:v>概念关系</x:v>
      </x:c>
    </x:row>
    <x:row r="10" ht="72" customHeight="1">
      <x:c r="A10" s="25" t="str">
        <x:v>CA-009</x:v>
      </x:c>
      <x:c r="B10" s="25" t="str">
        <x:v>曲线概念</x:v>
      </x:c>
      <x:c r="C10" s="25" t="str">
        <x:v>中等</x:v>
      </x:c>
      <x:c r="D10" s="25" t="str">
        <x:v>是</x:v>
      </x:c>
      <x:c r="E10" s="25" t="str">
        <x:v>简单曲线、简单闭曲线和按段光滑曲线分别如何定义？</x:v>
      </x:c>
      <x:c r="F10" s="25" t="str">
        <x:v>1.4.pptx</x:v>
      </x:c>
      <x:c r="G10" s="25" t="str">
        <x:v>第6-9页</x:v>
      </x:c>
      <x:c r="H10" s="25" t="str">
        <x:v>按段光滑曲线由有限段光滑曲线连接；简单曲线不自交；起点终点重合的简单曲线为简单闭曲线。</x:v>
      </x:c>
      <x:c r="I10" s="25" t="n">
        <x:v>4</x:v>
      </x:c>
      <x:c r="J10" s="25" t="n">
        <x:v>3</x:v>
      </x:c>
      <x:c r="K10" s="25" t="str">
        <x:v>图示可辅助</x:v>
      </x:c>
    </x:row>
    <x:row r="11" ht="72" customHeight="1">
      <x:c r="A11" s="25" t="str">
        <x:v>CA-010</x:v>
      </x:c>
      <x:c r="B11" s="25" t="str">
        <x:v>区域分类</x:v>
      </x:c>
      <x:c r="C11" s="25" t="str">
        <x:v>中等</x:v>
      </x:c>
      <x:c r="D11" s="25" t="str">
        <x:v>是</x:v>
      </x:c>
      <x:c r="E11" s="25" t="str">
        <x:v>单连通域与多连通域有什么区别？</x:v>
      </x:c>
      <x:c r="F11" s="25" t="str">
        <x:v>1.4.pptx</x:v>
      </x:c>
      <x:c r="G11" s="25" t="str">
        <x:v>第10-11页</x:v>
      </x:c>
      <x:c r="H11" s="25" t="str">
        <x:v>单连通域内任意简单闭曲线的内部仍属于该区域；存在孔洞或不满足该性质的区域为多连通域。</x:v>
      </x:c>
      <x:c r="I11" s="25" t="n">
        <x:v>2</x:v>
      </x:c>
      <x:c r="J11" s="25" t="n">
        <x:v>2</x:v>
      </x:c>
      <x:c r="K11" s="25" t="str">
        <x:v>结合Jordan曲线</x:v>
      </x:c>
    </x:row>
    <x:row r="12" ht="72" customHeight="1">
      <x:c r="A12" s="25" t="str">
        <x:v>CA-011</x:v>
      </x:c>
      <x:c r="B12" s="25" t="str">
        <x:v>函数定义</x:v>
      </x:c>
      <x:c r="C12" s="25" t="str">
        <x:v>简单</x:v>
      </x:c>
      <x:c r="D12" s="25" t="str">
        <x:v>是</x:v>
      </x:c>
      <x:c r="E12" s="25" t="str">
        <x:v>什么是复变函数？它与两个二元实函数有什么关系？</x:v>
      </x:c>
      <x:c r="F12" s="25" t="str">
        <x:v>1.5-6.pptx</x:v>
      </x:c>
      <x:c r="G12" s="25" t="str">
        <x:v>第2-5页</x:v>
      </x:c>
      <x:c r="H12" s="25" t="str">
        <x:v>复数自变量按确定法则对应复数函数值；w=u+iv，其中u、v是x、y的两个二元实函数。</x:v>
      </x:c>
      <x:c r="I12" s="25" t="n">
        <x:v>4</x:v>
      </x:c>
      <x:c r="J12" s="25" t="n">
        <x:v>2</x:v>
      </x:c>
      <x:c r="K12" s="25" t="str">
        <x:v>定义与分解</x:v>
      </x:c>
    </x:row>
    <x:row r="13" ht="72" customHeight="1">
      <x:c r="A13" s="25" t="str">
        <x:v>CA-012</x:v>
      </x:c>
      <x:c r="B13" s="25" t="str">
        <x:v>映射理解</x:v>
      </x:c>
      <x:c r="C13" s="25" t="str">
        <x:v>中等</x:v>
      </x:c>
      <x:c r="D13" s="25" t="str">
        <x:v>是</x:v>
      </x:c>
      <x:c r="E13" s="25" t="str">
        <x:v>复变函数的几何意义为什么可以理解为两个复平面之间的映射？</x:v>
      </x:c>
      <x:c r="F13" s="25" t="str">
        <x:v>1.5-6.pptx</x:v>
      </x:c>
      <x:c r="G13" s="25" t="str">
        <x:v>第6-8页</x:v>
      </x:c>
      <x:c r="H13" s="25" t="str">
        <x:v>z位于z平面，w位于w平面；函数把z平面集合中的点对应到w平面集合中的点。</x:v>
      </x:c>
      <x:c r="I13" s="25" t="n">
        <x:v>3</x:v>
      </x:c>
      <x:c r="J13" s="25" t="n">
        <x:v>3</x:v>
      </x:c>
      <x:c r="K13" s="25" t="str">
        <x:v>避免资料外结论</x:v>
      </x:c>
    </x:row>
    <x:row r="14" ht="72" customHeight="1">
      <x:c r="A14" s="25" t="str">
        <x:v>CA-013</x:v>
      </x:c>
      <x:c r="B14" s="25" t="str">
        <x:v>映射性质</x:v>
      </x:c>
      <x:c r="C14" s="25" t="str">
        <x:v>中等</x:v>
      </x:c>
      <x:c r="D14" s="25" t="str">
        <x:v>是</x:v>
      </x:c>
      <x:c r="E14" s="25" t="str">
        <x:v>映射w=z²对复数的模和辐角产生什么影响？</x:v>
      </x:c>
      <x:c r="F14" s="25" t="str">
        <x:v>1.5-6.pptx</x:v>
      </x:c>
      <x:c r="G14" s="25" t="str">
        <x:v>第9-10页</x:v>
      </x:c>
      <x:c r="H14" s="25" t="str">
        <x:v>模变为原模的平方；辐角变为原来的两倍；角形域的张角相应加倍。</x:v>
      </x:c>
      <x:c r="I14" s="25" t="n">
        <x:v>2</x:v>
      </x:c>
      <x:c r="J14" s="25" t="n">
        <x:v>3</x:v>
      </x:c>
      <x:c r="K14" s="25" t="str">
        <x:v>平方映射</x:v>
      </x:c>
    </x:row>
    <x:row r="15" ht="72" customHeight="1">
      <x:c r="A15" s="25" t="str">
        <x:v>CA-014</x:v>
      </x:c>
      <x:c r="B15" s="25" t="str">
        <x:v>反函数</x:v>
      </x:c>
      <x:c r="C15" s="25" t="str">
        <x:v>中等</x:v>
      </x:c>
      <x:c r="D15" s="25" t="str">
        <x:v>是</x:v>
      </x:c>
      <x:c r="E15" s="25" t="str">
        <x:v>复变函数的反函数在什么条件下能够定义？</x:v>
      </x:c>
      <x:c r="F15" s="25" t="str">
        <x:v>1.5-6.pptx</x:v>
      </x:c>
      <x:c r="G15" s="25" t="str">
        <x:v>第13-14页</x:v>
      </x:c>
      <x:c r="H15" s="25" t="str">
        <x:v>函数值集合中的每个点必须对应定义域中的唯一原像；反函数把w映回对应的z。</x:v>
      </x:c>
      <x:c r="I15" s="25" t="n">
        <x:v>2</x:v>
      </x:c>
      <x:c r="J15" s="25" t="n">
        <x:v>2</x:v>
      </x:c>
      <x:c r="K15" s="25" t="str">
        <x:v>强调唯一原像</x:v>
      </x:c>
    </x:row>
    <x:row r="16" ht="72" customHeight="1">
      <x:c r="A16" s="25" t="str">
        <x:v>CA-015</x:v>
      </x:c>
      <x:c r="B16" s="25" t="str">
        <x:v>极限</x:v>
      </x:c>
      <x:c r="C16" s="25" t="str">
        <x:v>中等</x:v>
      </x:c>
      <x:c r="D16" s="25" t="str">
        <x:v>是</x:v>
      </x:c>
      <x:c r="E16" s="25" t="str">
        <x:v>复变函数极限定义中的z趋近z₀为什么强调趋近方式任意？</x:v>
      </x:c>
      <x:c r="F16" s="25" t="str">
        <x:v>1.5-6.pptx</x:v>
      </x:c>
      <x:c r="G16" s="25" t="str">
        <x:v>第15-18页</x:v>
      </x:c>
      <x:c r="H16" s="25" t="str">
        <x:v>z可从任意方向和路径趋近z₀；极限必须与路径无关；可转化为实部、虚部两个二元实函数的极限。</x:v>
      </x:c>
      <x:c r="I16" s="25" t="n">
        <x:v>4</x:v>
      </x:c>
      <x:c r="J16" s="25" t="n">
        <x:v>3</x:v>
      </x:c>
      <x:c r="K16" s="25" t="str">
        <x:v>路径无关性</x:v>
      </x:c>
    </x:row>
    <x:row r="17" ht="72" customHeight="1">
      <x:c r="A17" s="25" t="str">
        <x:v>CA-016</x:v>
      </x:c>
      <x:c r="B17" s="25" t="str">
        <x:v>连续性</x:v>
      </x:c>
      <x:c r="C17" s="25" t="str">
        <x:v>中等</x:v>
      </x:c>
      <x:c r="D17" s="25" t="str">
        <x:v>是</x:v>
      </x:c>
      <x:c r="E17" s="25" t="str">
        <x:v>复变函数在一点连续需要满足哪些条件？连续性与实部、虚部有什么关系？</x:v>
      </x:c>
      <x:c r="F17" s="25" t="str">
        <x:v>1.5-6.pptx</x:v>
      </x:c>
      <x:c r="G17" s="25" t="str">
        <x:v>第21-25页</x:v>
      </x:c>
      <x:c r="H17" s="25" t="str">
        <x:v>函数在该点有定义；极限存在并等于函数值；复函数连续等价于实部与虚部对应的二元实函数连续。</x:v>
      </x:c>
      <x:c r="I17" s="25" t="n">
        <x:v>5</x:v>
      </x:c>
      <x:c r="J17" s="25" t="n">
        <x:v>4</x:v>
      </x:c>
      <x:c r="K17" s="25" t="str">
        <x:v>定义与分量条件</x:v>
      </x:c>
    </x:row>
    <x:row r="18" ht="72" customHeight="1">
      <x:c r="A18" s="25" t="str">
        <x:v>CA-017</x:v>
      </x:c>
      <x:c r="B18" s="25" t="str">
        <x:v>无答案测试</x:v>
      </x:c>
      <x:c r="C18" s="25" t="str">
        <x:v>中等</x:v>
      </x:c>
      <x:c r="D18" s="25" t="str">
        <x:v>否</x:v>
      </x:c>
      <x:c r="E18" s="25" t="str">
        <x:v>柯西-黎曼方程是什么？如何用它判断函数解析性？</x:v>
      </x:c>
      <x:c r="F18" s="25" t="str">
        <x:v>仅授权三份PPT</x:v>
      </x:c>
      <x:c r="G18" s="25" t="str">
        <x:v>无</x:v>
      </x:c>
      <x:c r="H18" s="25" t="str">
        <x:v>资料未覆盖解析函数判定，应明确说明证据不足。</x:v>
      </x:c>
      <x:c r="I18" s="25" t="n">
        <x:v>0</x:v>
      </x:c>
      <x:c r="J18" s="25" t="n">
        <x:v>1</x:v>
      </x:c>
      <x:c r="K18" s="25" t="str">
        <x:v>测试拒答</x:v>
      </x:c>
    </x:row>
    <x:row r="19" ht="72" customHeight="1">
      <x:c r="A19" s="25" t="str">
        <x:v>CA-018</x:v>
      </x:c>
      <x:c r="B19" s="25" t="str">
        <x:v>无答案测试</x:v>
      </x:c>
      <x:c r="C19" s="25" t="str">
        <x:v>中等</x:v>
      </x:c>
      <x:c r="D19" s="25" t="str">
        <x:v>否</x:v>
      </x:c>
      <x:c r="E19" s="25" t="str">
        <x:v>柯西积分公式的适用条件是什么？</x:v>
      </x:c>
      <x:c r="F19" s="25" t="str">
        <x:v>仅授权三份PPT</x:v>
      </x:c>
      <x:c r="G19" s="25" t="str">
        <x:v>无</x:v>
      </x:c>
      <x:c r="H19" s="25" t="str">
        <x:v>资料未覆盖复积分与柯西积分公式，应明确说明证据不足。</x:v>
      </x:c>
      <x:c r="I19" s="25" t="n">
        <x:v>0</x:v>
      </x:c>
      <x:c r="J19" s="25" t="n">
        <x:v>1</x:v>
      </x:c>
      <x:c r="K19" s="25" t="str">
        <x:v>测试拒答</x:v>
      </x:c>
    </x:row>
    <x:row r="20" ht="72" customHeight="1">
      <x:c r="A20" s="25" t="str">
        <x:v>CA-019</x:v>
      </x:c>
      <x:c r="B20" s="25" t="str">
        <x:v>无答案测试</x:v>
      </x:c>
      <x:c r="C20" s="25" t="str">
        <x:v>中等</x:v>
      </x:c>
      <x:c r="D20" s="25" t="str">
        <x:v>否</x:v>
      </x:c>
      <x:c r="E20" s="25" t="str">
        <x:v>如何将函数在指定圆环域内展开为洛朗级数？</x:v>
      </x:c>
      <x:c r="F20" s="25" t="str">
        <x:v>仅授权三份PPT</x:v>
      </x:c>
      <x:c r="G20" s="25" t="str">
        <x:v>无</x:v>
      </x:c>
      <x:c r="H20" s="25" t="str">
        <x:v>资料未覆盖洛朗级数，应明确说明证据不足。</x:v>
      </x:c>
      <x:c r="I20" s="25" t="n">
        <x:v>0</x:v>
      </x:c>
      <x:c r="J20" s="25" t="n">
        <x:v>1</x:v>
      </x:c>
      <x:c r="K20" s="25" t="str">
        <x:v>测试拒答</x:v>
      </x:c>
    </x:row>
    <x:row r="21" ht="72" customHeight="1">
      <x:c r="A21" s="26" t="str">
        <x:v>CA-020</x:v>
      </x:c>
      <x:c r="B21" s="26" t="str">
        <x:v>无答案测试</x:v>
      </x:c>
      <x:c r="C21" s="26" t="str">
        <x:v>中等</x:v>
      </x:c>
      <x:c r="D21" s="26" t="str">
        <x:v>否</x:v>
      </x:c>
      <x:c r="E21" s="26" t="str">
        <x:v>留数定理如何用于计算实积分？</x:v>
      </x:c>
      <x:c r="F21" s="26" t="str">
        <x:v>仅授权三份PPT</x:v>
      </x:c>
      <x:c r="G21" s="26" t="str">
        <x:v>无</x:v>
      </x:c>
      <x:c r="H21" s="26" t="str">
        <x:v>资料未覆盖留数及其应用，应明确说明证据不足。</x:v>
      </x:c>
      <x:c r="I21" s="26" t="n">
        <x:v>0</x:v>
      </x:c>
      <x:c r="J21" s="26" t="n">
        <x:v>1</x:v>
      </x:c>
      <x:c r="K21" s="26" t="str">
        <x:v>测试拒答</x:v>
      </x:c>
    </x:row>
  </x:sheetData>
  <x:conditionalFormatting sqref="D2:D21">
    <x:cfRule type="containsText" dxfId="0" priority="1" operator="containsText" text="否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42" hidden="0" customWidth="1"/>
    <x:col min="35" max="35" width="42" hidden="0" customWidth="1"/>
    <x:col min="36" max="36" width="42" hidden="0" customWidth="1"/>
  </x:cols>
  <x:sheetData>
    <x:row r="1" ht="44" customHeight="1">
      <x:c r="A1" s="12" t="str">
        <x:v>Run ID</x:v>
      </x:c>
      <x:c r="B1" s="13" t="str">
        <x:v>Case ID</x:v>
      </x:c>
      <x:c r="C1" s="13" t="str">
        <x:v>Variant</x:v>
      </x:c>
      <x:c r="D1" s="13" t="str">
        <x:v>Trial</x:v>
      </x:c>
      <x:c r="E1" s="13" t="str">
        <x:v>Status</x:v>
      </x:c>
      <x:c r="F1" s="13" t="str">
        <x:v>Top5命中Gold数</x:v>
      </x:c>
      <x:c r="G1" s="13" t="str">
        <x:v>Top10命中Gold数</x:v>
      </x:c>
      <x:c r="H1" s="13" t="str">
        <x:v>首个Gold排名</x:v>
      </x:c>
      <x:c r="I1" s="13" t="str">
        <x:v>Gold证据数</x:v>
      </x:c>
      <x:c r="J1" s="13" t="str">
        <x:v>Recall@5</x:v>
      </x:c>
      <x:c r="K1" s="13" t="str">
        <x:v>Recall@10</x:v>
      </x:c>
      <x:c r="L1" s="13" t="str">
        <x:v>Hit@5</x:v>
      </x:c>
      <x:c r="M1" s="13" t="str">
        <x:v>MRR@10</x:v>
      </x:c>
      <x:c r="N1" s="13" t="str">
        <x:v>标准事实数</x:v>
      </x:c>
      <x:c r="O1" s="13" t="str">
        <x:v>正确覆盖数</x:v>
      </x:c>
      <x:c r="P1" s="13" t="str">
        <x:v>事实覆盖率</x:v>
      </x:c>
      <x:c r="Q1" s="13" t="str">
        <x:v>事实主张数</x:v>
      </x:c>
      <x:c r="R1" s="13" t="str">
        <x:v>有证据支持数</x:v>
      </x:c>
      <x:c r="S1" s="13" t="str">
        <x:v>证据支持率</x:v>
      </x:c>
      <x:c r="T1" s="13" t="str">
        <x:v>引用数</x:v>
      </x:c>
      <x:c r="U1" s="13" t="str">
        <x:v>有效引用数</x:v>
      </x:c>
      <x:c r="V1" s="13" t="str">
        <x:v>引用准确率</x:v>
      </x:c>
      <x:c r="W1" s="13" t="str">
        <x:v>幻觉主张数</x:v>
      </x:c>
      <x:c r="X1" s="13" t="str">
        <x:v>幻觉率</x:v>
      </x:c>
      <x:c r="Y1" s="13" t="str">
        <x:v>拒答正确(0/1)</x:v>
      </x:c>
      <x:c r="Z1" s="13" t="str">
        <x:v>延迟(ms)</x:v>
      </x:c>
      <x:c r="AA1" s="13" t="str">
        <x:v>输入Token</x:v>
      </x:c>
      <x:c r="AB1" s="13" t="str">
        <x:v>输出Token</x:v>
      </x:c>
      <x:c r="AC1" s="13" t="str">
        <x:v>节点数</x:v>
      </x:c>
      <x:c r="AD1" s="13" t="str">
        <x:v>检索轮数</x:v>
      </x:c>
      <x:c r="AE1" s="13" t="str">
        <x:v>生成轮数</x:v>
      </x:c>
      <x:c r="AF1" s="13" t="str">
        <x:v>修复轮数</x:v>
      </x:c>
      <x:c r="AG1" s="13" t="str">
        <x:v>Critic通过</x:v>
      </x:c>
      <x:c r="AH1" s="13" t="str">
        <x:v>Agent回答</x:v>
      </x:c>
      <x:c r="AI1" s="13" t="str">
        <x:v>引用页码/Chunk</x:v>
      </x:c>
      <x:c r="AJ1" s="14" t="str">
        <x:v>备注</x:v>
      </x:c>
    </x:row>
    <x:row r="2">
      <x:c r="A2" s="31" t="str">
        <x:v>CA-001-T1</x:v>
      </x:c>
      <x:c r="B2" s="31" t="str">
        <x:v>CA-001</x:v>
      </x:c>
      <x:c r="C2" s="31" t="str">
        <x:v>Full Harness</x:v>
      </x:c>
      <x:c r="D2" s="31" t="n">
        <x:v>1</x:v>
      </x:c>
      <x:c r="E2" s="31" t="str"/>
      <x:c r="F2" s="31" t="str"/>
      <x:c r="G2" s="31" t="str"/>
      <x:c r="H2" s="31" t="str"/>
      <x:c r="I2" s="31" t="n">
        <x:f>IFERROR(VLOOKUP(B2,'问题集'!$A$2:$K$21,9,FALSE),"")</x:f>
        <x:v>1</x:v>
      </x:c>
      <x:c r="J2" s="37" t="n">
        <x:f>IFERROR(F2/I2,"")</x:f>
        <x:v>0</x:v>
      </x:c>
      <x:c r="K2" s="37" t="n">
        <x:f>IFERROR(G2/I2,"")</x:f>
        <x:v>0</x:v>
      </x:c>
      <x:c r="L2" s="37" t="str">
        <x:f>IF(F2="","",--(F2&gt;0))</x:f>
      </x:c>
      <x:c r="M2" s="37" t="str">
        <x:f>IFERROR(1/H2,"")</x:f>
      </x:c>
      <x:c r="N2" s="31" t="n">
        <x:f>IFERROR(VLOOKUP(B2,'问题集'!$A$2:$K$21,10,FALSE),"")</x:f>
        <x:v>1</x:v>
      </x:c>
      <x:c r="O2" s="31" t="str"/>
      <x:c r="P2" s="37" t="n">
        <x:f>IFERROR(O2/N2,"")</x:f>
        <x:v>0</x:v>
      </x:c>
      <x:c r="Q2" s="31" t="str"/>
      <x:c r="R2" s="31" t="str"/>
      <x:c r="S2" s="37" t="str">
        <x:f>IFERROR(R2/Q2,"")</x:f>
      </x:c>
      <x:c r="T2" s="31" t="str"/>
      <x:c r="U2" s="31" t="str"/>
      <x:c r="V2" s="37" t="str">
        <x:f>IFERROR(U2/T2,"")</x:f>
      </x:c>
      <x:c r="W2" s="31" t="str"/>
      <x:c r="X2" s="37" t="str">
        <x:f>IFERROR(W2/Q2,"")</x:f>
      </x:c>
      <x:c r="Y2" s="31" t="str"/>
      <x:c r="Z2" s="31" t="str"/>
      <x:c r="AA2" s="31" t="str"/>
      <x:c r="AB2" s="31" t="str"/>
      <x:c r="AC2" s="31" t="str"/>
      <x:c r="AD2" s="31" t="str"/>
      <x:c r="AE2" s="31" t="str"/>
      <x:c r="AF2" s="31" t="str"/>
      <x:c r="AG2" s="31" t="str"/>
      <x:c r="AH2" s="31" t="str"/>
      <x:c r="AI2" s="31" t="str"/>
      <x:c r="AJ2" s="31" t="str"/>
    </x:row>
    <x:row r="3">
      <x:c r="A3" s="32" t="str">
        <x:v>CA-001-T2</x:v>
      </x:c>
      <x:c r="B3" s="32" t="str">
        <x:v>CA-001</x:v>
      </x:c>
      <x:c r="C3" s="32" t="str">
        <x:v>Full Harness</x:v>
      </x:c>
      <x:c r="D3" s="32" t="n">
        <x:v>2</x:v>
      </x:c>
      <x:c r="E3" s="32" t="str"/>
      <x:c r="F3" s="32" t="str"/>
      <x:c r="G3" s="32" t="str"/>
      <x:c r="H3" s="32" t="str"/>
      <x:c r="I3" s="32" t="n">
        <x:f>IFERROR(VLOOKUP(B3,'问题集'!$A$2:$K$21,9,FALSE),"")</x:f>
        <x:v>1</x:v>
      </x:c>
      <x:c r="J3" s="38" t="n">
        <x:f>IFERROR(F3/I3,"")</x:f>
        <x:v>0</x:v>
      </x:c>
      <x:c r="K3" s="38" t="n">
        <x:f>IFERROR(G3/I3,"")</x:f>
        <x:v>0</x:v>
      </x:c>
      <x:c r="L3" s="38" t="str">
        <x:f>IF(F3="","",--(F3&gt;0))</x:f>
      </x:c>
      <x:c r="M3" s="38" t="str">
        <x:f>IFERROR(1/H3,"")</x:f>
      </x:c>
      <x:c r="N3" s="32" t="n">
        <x:f>IFERROR(VLOOKUP(B3,'问题集'!$A$2:$K$21,10,FALSE),"")</x:f>
        <x:v>1</x:v>
      </x:c>
      <x:c r="O3" s="32" t="str"/>
      <x:c r="P3" s="38" t="n">
        <x:f>IFERROR(O3/N3,"")</x:f>
        <x:v>0</x:v>
      </x:c>
      <x:c r="Q3" s="32" t="str"/>
      <x:c r="R3" s="32" t="str"/>
      <x:c r="S3" s="38" t="str">
        <x:f>IFERROR(R3/Q3,"")</x:f>
      </x:c>
      <x:c r="T3" s="32" t="str"/>
      <x:c r="U3" s="32" t="str"/>
      <x:c r="V3" s="38" t="str">
        <x:f>IFERROR(U3/T3,"")</x:f>
      </x:c>
      <x:c r="W3" s="32" t="str"/>
      <x:c r="X3" s="38" t="str">
        <x:f>IFERROR(W3/Q3,"")</x:f>
      </x:c>
      <x:c r="Y3" s="32" t="str"/>
      <x:c r="Z3" s="32" t="str"/>
      <x:c r="AA3" s="32" t="str"/>
      <x:c r="AB3" s="32" t="str"/>
      <x:c r="AC3" s="32" t="str"/>
      <x:c r="AD3" s="32" t="str"/>
      <x:c r="AE3" s="32" t="str"/>
      <x:c r="AF3" s="32" t="str"/>
      <x:c r="AG3" s="32" t="str"/>
      <x:c r="AH3" s="32" t="str"/>
      <x:c r="AI3" s="32" t="str"/>
      <x:c r="AJ3" s="32" t="str"/>
    </x:row>
    <x:row r="4">
      <x:c r="A4" s="32" t="str">
        <x:v>CA-001-T3</x:v>
      </x:c>
      <x:c r="B4" s="32" t="str">
        <x:v>CA-001</x:v>
      </x:c>
      <x:c r="C4" s="32" t="str">
        <x:v>Full Harness</x:v>
      </x:c>
      <x:c r="D4" s="32" t="n">
        <x:v>3</x:v>
      </x:c>
      <x:c r="E4" s="32" t="str"/>
      <x:c r="F4" s="32" t="str"/>
      <x:c r="G4" s="32" t="str"/>
      <x:c r="H4" s="32" t="str"/>
      <x:c r="I4" s="32" t="n">
        <x:f>IFERROR(VLOOKUP(B4,'问题集'!$A$2:$K$21,9,FALSE),"")</x:f>
        <x:v>1</x:v>
      </x:c>
      <x:c r="J4" s="38" t="n">
        <x:f>IFERROR(F4/I4,"")</x:f>
        <x:v>0</x:v>
      </x:c>
      <x:c r="K4" s="38" t="n">
        <x:f>IFERROR(G4/I4,"")</x:f>
        <x:v>0</x:v>
      </x:c>
      <x:c r="L4" s="38" t="str">
        <x:f>IF(F4="","",--(F4&gt;0))</x:f>
      </x:c>
      <x:c r="M4" s="38" t="str">
        <x:f>IFERROR(1/H4,"")</x:f>
      </x:c>
      <x:c r="N4" s="32" t="n">
        <x:f>IFERROR(VLOOKUP(B4,'问题集'!$A$2:$K$21,10,FALSE),"")</x:f>
        <x:v>1</x:v>
      </x:c>
      <x:c r="O4" s="32" t="str"/>
      <x:c r="P4" s="38" t="n">
        <x:f>IFERROR(O4/N4,"")</x:f>
        <x:v>0</x:v>
      </x:c>
      <x:c r="Q4" s="32" t="str"/>
      <x:c r="R4" s="32" t="str"/>
      <x:c r="S4" s="38" t="str">
        <x:f>IFERROR(R4/Q4,"")</x:f>
      </x:c>
      <x:c r="T4" s="32" t="str"/>
      <x:c r="U4" s="32" t="str"/>
      <x:c r="V4" s="38" t="str">
        <x:f>IFERROR(U4/T4,"")</x:f>
      </x:c>
      <x:c r="W4" s="32" t="str"/>
      <x:c r="X4" s="38" t="str">
        <x:f>IFERROR(W4/Q4,"")</x:f>
      </x:c>
      <x:c r="Y4" s="32" t="str"/>
      <x:c r="Z4" s="32" t="str"/>
      <x:c r="AA4" s="32" t="str"/>
      <x:c r="AB4" s="32" t="str"/>
      <x:c r="AC4" s="32" t="str"/>
      <x:c r="AD4" s="32" t="str"/>
      <x:c r="AE4" s="32" t="str"/>
      <x:c r="AF4" s="32" t="str"/>
      <x:c r="AG4" s="32" t="str"/>
      <x:c r="AH4" s="32" t="str"/>
      <x:c r="AI4" s="32" t="str"/>
      <x:c r="AJ4" s="32" t="str"/>
    </x:row>
    <x:row r="5">
      <x:c r="A5" s="32" t="str">
        <x:v>CA-002-T1</x:v>
      </x:c>
      <x:c r="B5" s="32" t="str">
        <x:v>CA-002</x:v>
      </x:c>
      <x:c r="C5" s="32" t="str">
        <x:v>Full Harness</x:v>
      </x:c>
      <x:c r="D5" s="32" t="n">
        <x:v>1</x:v>
      </x:c>
      <x:c r="E5" s="32" t="str"/>
      <x:c r="F5" s="32" t="str"/>
      <x:c r="G5" s="32" t="str"/>
      <x:c r="H5" s="32" t="str"/>
      <x:c r="I5" s="32" t="n">
        <x:f>IFERROR(VLOOKUP(B5,'问题集'!$A$2:$K$21,9,FALSE),"")</x:f>
        <x:v>3</x:v>
      </x:c>
      <x:c r="J5" s="38" t="n">
        <x:f>IFERROR(F5/I5,"")</x:f>
        <x:v>0</x:v>
      </x:c>
      <x:c r="K5" s="38" t="n">
        <x:f>IFERROR(G5/I5,"")</x:f>
        <x:v>0</x:v>
      </x:c>
      <x:c r="L5" s="38" t="str">
        <x:f>IF(F5="","",--(F5&gt;0))</x:f>
      </x:c>
      <x:c r="M5" s="38" t="str">
        <x:f>IFERROR(1/H5,"")</x:f>
      </x:c>
      <x:c r="N5" s="32" t="n">
        <x:f>IFERROR(VLOOKUP(B5,'问题集'!$A$2:$K$21,10,FALSE),"")</x:f>
        <x:v>3</x:v>
      </x:c>
      <x:c r="O5" s="32" t="str"/>
      <x:c r="P5" s="38" t="n">
        <x:f>IFERROR(O5/N5,"")</x:f>
        <x:v>0</x:v>
      </x:c>
      <x:c r="Q5" s="32" t="str"/>
      <x:c r="R5" s="32" t="str"/>
      <x:c r="S5" s="38" t="str">
        <x:f>IFERROR(R5/Q5,"")</x:f>
      </x:c>
      <x:c r="T5" s="32" t="str"/>
      <x:c r="U5" s="32" t="str"/>
      <x:c r="V5" s="38" t="str">
        <x:f>IFERROR(U5/T5,"")</x:f>
      </x:c>
      <x:c r="W5" s="32" t="str"/>
      <x:c r="X5" s="38" t="str">
        <x:f>IFERROR(W5/Q5,"")</x:f>
      </x:c>
      <x:c r="Y5" s="32" t="str"/>
      <x:c r="Z5" s="32" t="str"/>
      <x:c r="AA5" s="32" t="str"/>
      <x:c r="AB5" s="32" t="str"/>
      <x:c r="AC5" s="32" t="str"/>
      <x:c r="AD5" s="32" t="str"/>
      <x:c r="AE5" s="32" t="str"/>
      <x:c r="AF5" s="32" t="str"/>
      <x:c r="AG5" s="32" t="str"/>
      <x:c r="AH5" s="32" t="str"/>
      <x:c r="AI5" s="32" t="str"/>
      <x:c r="AJ5" s="32" t="str"/>
    </x:row>
    <x:row r="6">
      <x:c r="A6" s="32" t="str">
        <x:v>CA-002-T2</x:v>
      </x:c>
      <x:c r="B6" s="32" t="str">
        <x:v>CA-002</x:v>
      </x:c>
      <x:c r="C6" s="32" t="str">
        <x:v>Full Harness</x:v>
      </x:c>
      <x:c r="D6" s="32" t="n">
        <x:v>2</x:v>
      </x:c>
      <x:c r="E6" s="32" t="str"/>
      <x:c r="F6" s="32" t="str"/>
      <x:c r="G6" s="32" t="str"/>
      <x:c r="H6" s="32" t="str"/>
      <x:c r="I6" s="32" t="n">
        <x:f>IFERROR(VLOOKUP(B6,'问题集'!$A$2:$K$21,9,FALSE),"")</x:f>
        <x:v>3</x:v>
      </x:c>
      <x:c r="J6" s="38" t="n">
        <x:f>IFERROR(F6/I6,"")</x:f>
        <x:v>0</x:v>
      </x:c>
      <x:c r="K6" s="38" t="n">
        <x:f>IFERROR(G6/I6,"")</x:f>
        <x:v>0</x:v>
      </x:c>
      <x:c r="L6" s="38" t="str">
        <x:f>IF(F6="","",--(F6&gt;0))</x:f>
      </x:c>
      <x:c r="M6" s="38" t="str">
        <x:f>IFERROR(1/H6,"")</x:f>
      </x:c>
      <x:c r="N6" s="32" t="n">
        <x:f>IFERROR(VLOOKUP(B6,'问题集'!$A$2:$K$21,10,FALSE),"")</x:f>
        <x:v>3</x:v>
      </x:c>
      <x:c r="O6" s="32" t="str"/>
      <x:c r="P6" s="38" t="n">
        <x:f>IFERROR(O6/N6,"")</x:f>
        <x:v>0</x:v>
      </x:c>
      <x:c r="Q6" s="32" t="str"/>
      <x:c r="R6" s="32" t="str"/>
      <x:c r="S6" s="38" t="str">
        <x:f>IFERROR(R6/Q6,"")</x:f>
      </x:c>
      <x:c r="T6" s="32" t="str"/>
      <x:c r="U6" s="32" t="str"/>
      <x:c r="V6" s="38" t="str">
        <x:f>IFERROR(U6/T6,"")</x:f>
      </x:c>
      <x:c r="W6" s="32" t="str"/>
      <x:c r="X6" s="38" t="str">
        <x:f>IFERROR(W6/Q6,"")</x:f>
      </x:c>
      <x:c r="Y6" s="32" t="str"/>
      <x:c r="Z6" s="32" t="str"/>
      <x:c r="AA6" s="32" t="str"/>
      <x:c r="AB6" s="32" t="str"/>
      <x:c r="AC6" s="32" t="str"/>
      <x:c r="AD6" s="32" t="str"/>
      <x:c r="AE6" s="32" t="str"/>
      <x:c r="AF6" s="32" t="str"/>
      <x:c r="AG6" s="32" t="str"/>
      <x:c r="AH6" s="32" t="str"/>
      <x:c r="AI6" s="32" t="str"/>
      <x:c r="AJ6" s="32" t="str"/>
    </x:row>
    <x:row r="7">
      <x:c r="A7" s="32" t="str">
        <x:v>CA-002-T3</x:v>
      </x:c>
      <x:c r="B7" s="32" t="str">
        <x:v>CA-002</x:v>
      </x:c>
      <x:c r="C7" s="32" t="str">
        <x:v>Full Harness</x:v>
      </x:c>
      <x:c r="D7" s="32" t="n">
        <x:v>3</x:v>
      </x:c>
      <x:c r="E7" s="32" t="str"/>
      <x:c r="F7" s="32" t="str"/>
      <x:c r="G7" s="32" t="str"/>
      <x:c r="H7" s="32" t="str"/>
      <x:c r="I7" s="32" t="n">
        <x:f>IFERROR(VLOOKUP(B7,'问题集'!$A$2:$K$21,9,FALSE),"")</x:f>
        <x:v>3</x:v>
      </x:c>
      <x:c r="J7" s="38" t="n">
        <x:f>IFERROR(F7/I7,"")</x:f>
        <x:v>0</x:v>
      </x:c>
      <x:c r="K7" s="38" t="n">
        <x:f>IFERROR(G7/I7,"")</x:f>
        <x:v>0</x:v>
      </x:c>
      <x:c r="L7" s="38" t="str">
        <x:f>IF(F7="","",--(F7&gt;0))</x:f>
      </x:c>
      <x:c r="M7" s="38" t="str">
        <x:f>IFERROR(1/H7,"")</x:f>
      </x:c>
      <x:c r="N7" s="32" t="n">
        <x:f>IFERROR(VLOOKUP(B7,'问题集'!$A$2:$K$21,10,FALSE),"")</x:f>
        <x:v>3</x:v>
      </x:c>
      <x:c r="O7" s="32" t="str"/>
      <x:c r="P7" s="38" t="n">
        <x:f>IFERROR(O7/N7,"")</x:f>
        <x:v>0</x:v>
      </x:c>
      <x:c r="Q7" s="32" t="str"/>
      <x:c r="R7" s="32" t="str"/>
      <x:c r="S7" s="38" t="str">
        <x:f>IFERROR(R7/Q7,"")</x:f>
      </x:c>
      <x:c r="T7" s="32" t="str"/>
      <x:c r="U7" s="32" t="str"/>
      <x:c r="V7" s="38" t="str">
        <x:f>IFERROR(U7/T7,"")</x:f>
      </x:c>
      <x:c r="W7" s="32" t="str"/>
      <x:c r="X7" s="38" t="str">
        <x:f>IFERROR(W7/Q7,"")</x:f>
      </x:c>
      <x:c r="Y7" s="32" t="str"/>
      <x:c r="Z7" s="32" t="str"/>
      <x:c r="AA7" s="32" t="str"/>
      <x:c r="AB7" s="32" t="str"/>
      <x:c r="AC7" s="32" t="str"/>
      <x:c r="AD7" s="32" t="str"/>
      <x:c r="AE7" s="32" t="str"/>
      <x:c r="AF7" s="32" t="str"/>
      <x:c r="AG7" s="32" t="str"/>
      <x:c r="AH7" s="32" t="str"/>
      <x:c r="AI7" s="32" t="str"/>
      <x:c r="AJ7" s="32" t="str"/>
    </x:row>
    <x:row r="8">
      <x:c r="A8" s="32" t="str">
        <x:v>CA-003-T1</x:v>
      </x:c>
      <x:c r="B8" s="32" t="str">
        <x:v>CA-003</x:v>
      </x:c>
      <x:c r="C8" s="32" t="str">
        <x:v>Full Harness</x:v>
      </x:c>
      <x:c r="D8" s="32" t="n">
        <x:v>1</x:v>
      </x:c>
      <x:c r="E8" s="32" t="str"/>
      <x:c r="F8" s="32" t="str"/>
      <x:c r="G8" s="32" t="str"/>
      <x:c r="H8" s="32" t="str"/>
      <x:c r="I8" s="32" t="n">
        <x:f>IFERROR(VLOOKUP(B8,'问题集'!$A$2:$K$21,9,FALSE),"")</x:f>
        <x:v>2</x:v>
      </x:c>
      <x:c r="J8" s="38" t="n">
        <x:f>IFERROR(F8/I8,"")</x:f>
        <x:v>0</x:v>
      </x:c>
      <x:c r="K8" s="38" t="n">
        <x:f>IFERROR(G8/I8,"")</x:f>
        <x:v>0</x:v>
      </x:c>
      <x:c r="L8" s="38" t="str">
        <x:f>IF(F8="","",--(F8&gt;0))</x:f>
      </x:c>
      <x:c r="M8" s="38" t="str">
        <x:f>IFERROR(1/H8,"")</x:f>
      </x:c>
      <x:c r="N8" s="32" t="n">
        <x:f>IFERROR(VLOOKUP(B8,'问题集'!$A$2:$K$21,10,FALSE),"")</x:f>
        <x:v>3</x:v>
      </x:c>
      <x:c r="O8" s="32" t="str"/>
      <x:c r="P8" s="38" t="n">
        <x:f>IFERROR(O8/N8,"")</x:f>
        <x:v>0</x:v>
      </x:c>
      <x:c r="Q8" s="32" t="str"/>
      <x:c r="R8" s="32" t="str"/>
      <x:c r="S8" s="38" t="str">
        <x:f>IFERROR(R8/Q8,"")</x:f>
      </x:c>
      <x:c r="T8" s="32" t="str"/>
      <x:c r="U8" s="32" t="str"/>
      <x:c r="V8" s="38" t="str">
        <x:f>IFERROR(U8/T8,"")</x:f>
      </x:c>
      <x:c r="W8" s="32" t="str"/>
      <x:c r="X8" s="38" t="str">
        <x:f>IFERROR(W8/Q8,"")</x:f>
      </x:c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  <x:c r="AG8" s="32" t="str"/>
      <x:c r="AH8" s="32" t="str"/>
      <x:c r="AI8" s="32" t="str"/>
      <x:c r="AJ8" s="32" t="str"/>
    </x:row>
    <x:row r="9">
      <x:c r="A9" s="32" t="str">
        <x:v>CA-003-T2</x:v>
      </x:c>
      <x:c r="B9" s="32" t="str">
        <x:v>CA-003</x:v>
      </x:c>
      <x:c r="C9" s="32" t="str">
        <x:v>Full Harness</x:v>
      </x:c>
      <x:c r="D9" s="32" t="n">
        <x:v>2</x:v>
      </x:c>
      <x:c r="E9" s="32" t="str"/>
      <x:c r="F9" s="32" t="str"/>
      <x:c r="G9" s="32" t="str"/>
      <x:c r="H9" s="32" t="str"/>
      <x:c r="I9" s="32" t="n">
        <x:f>IFERROR(VLOOKUP(B9,'问题集'!$A$2:$K$21,9,FALSE),"")</x:f>
        <x:v>2</x:v>
      </x:c>
      <x:c r="J9" s="38" t="n">
        <x:f>IFERROR(F9/I9,"")</x:f>
        <x:v>0</x:v>
      </x:c>
      <x:c r="K9" s="38" t="n">
        <x:f>IFERROR(G9/I9,"")</x:f>
        <x:v>0</x:v>
      </x:c>
      <x:c r="L9" s="38" t="str">
        <x:f>IF(F9="","",--(F9&gt;0))</x:f>
      </x:c>
      <x:c r="M9" s="38" t="str">
        <x:f>IFERROR(1/H9,"")</x:f>
      </x:c>
      <x:c r="N9" s="32" t="n">
        <x:f>IFERROR(VLOOKUP(B9,'问题集'!$A$2:$K$21,10,FALSE),"")</x:f>
        <x:v>3</x:v>
      </x:c>
      <x:c r="O9" s="32" t="str"/>
      <x:c r="P9" s="38" t="n">
        <x:f>IFERROR(O9/N9,"")</x:f>
        <x:v>0</x:v>
      </x:c>
      <x:c r="Q9" s="32" t="str"/>
      <x:c r="R9" s="32" t="str"/>
      <x:c r="S9" s="38" t="str">
        <x:f>IFERROR(R9/Q9,"")</x:f>
      </x:c>
      <x:c r="T9" s="32" t="str"/>
      <x:c r="U9" s="32" t="str"/>
      <x:c r="V9" s="38" t="str">
        <x:f>IFERROR(U9/T9,"")</x:f>
      </x:c>
      <x:c r="W9" s="32" t="str"/>
      <x:c r="X9" s="38" t="str">
        <x:f>IFERROR(W9/Q9,"")</x:f>
      </x:c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  <x:c r="AG9" s="32" t="str"/>
      <x:c r="AH9" s="32" t="str"/>
      <x:c r="AI9" s="32" t="str"/>
      <x:c r="AJ9" s="32" t="str"/>
    </x:row>
    <x:row r="10">
      <x:c r="A10" s="32" t="str">
        <x:v>CA-003-T3</x:v>
      </x:c>
      <x:c r="B10" s="32" t="str">
        <x:v>CA-003</x:v>
      </x:c>
      <x:c r="C10" s="32" t="str">
        <x:v>Full Harness</x:v>
      </x:c>
      <x:c r="D10" s="32" t="n">
        <x:v>3</x:v>
      </x:c>
      <x:c r="E10" s="32" t="str"/>
      <x:c r="F10" s="32" t="str"/>
      <x:c r="G10" s="32" t="str"/>
      <x:c r="H10" s="32" t="str"/>
      <x:c r="I10" s="32" t="n">
        <x:f>IFERROR(VLOOKUP(B10,'问题集'!$A$2:$K$21,9,FALSE),"")</x:f>
        <x:v>2</x:v>
      </x:c>
      <x:c r="J10" s="38" t="n">
        <x:f>IFERROR(F10/I10,"")</x:f>
        <x:v>0</x:v>
      </x:c>
      <x:c r="K10" s="38" t="n">
        <x:f>IFERROR(G10/I10,"")</x:f>
        <x:v>0</x:v>
      </x:c>
      <x:c r="L10" s="38" t="str">
        <x:f>IF(F10="","",--(F10&gt;0))</x:f>
      </x:c>
      <x:c r="M10" s="38" t="str">
        <x:f>IFERROR(1/H10,"")</x:f>
      </x:c>
      <x:c r="N10" s="32" t="n">
        <x:f>IFERROR(VLOOKUP(B10,'问题集'!$A$2:$K$21,10,FALSE),"")</x:f>
        <x:v>3</x:v>
      </x:c>
      <x:c r="O10" s="32" t="str"/>
      <x:c r="P10" s="38" t="n">
        <x:f>IFERROR(O10/N10,"")</x:f>
        <x:v>0</x:v>
      </x:c>
      <x:c r="Q10" s="32" t="str"/>
      <x:c r="R10" s="32" t="str"/>
      <x:c r="S10" s="38" t="str">
        <x:f>IFERROR(R10/Q10,"")</x:f>
      </x:c>
      <x:c r="T10" s="32" t="str"/>
      <x:c r="U10" s="32" t="str"/>
      <x:c r="V10" s="38" t="str">
        <x:f>IFERROR(U10/T10,"")</x:f>
      </x:c>
      <x:c r="W10" s="32" t="str"/>
      <x:c r="X10" s="38" t="str">
        <x:f>IFERROR(W10/Q10,"")</x:f>
      </x:c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  <x:c r="AG10" s="32" t="str"/>
      <x:c r="AH10" s="32" t="str"/>
      <x:c r="AI10" s="32" t="str"/>
      <x:c r="AJ10" s="32" t="str"/>
    </x:row>
    <x:row r="11">
      <x:c r="A11" s="32" t="str">
        <x:v>CA-004-T1</x:v>
      </x:c>
      <x:c r="B11" s="32" t="str">
        <x:v>CA-004</x:v>
      </x:c>
      <x:c r="C11" s="32" t="str">
        <x:v>Full Harness</x:v>
      </x:c>
      <x:c r="D11" s="32" t="n">
        <x:v>1</x:v>
      </x:c>
      <x:c r="E11" s="32" t="str"/>
      <x:c r="F11" s="32" t="str"/>
      <x:c r="G11" s="32" t="str"/>
      <x:c r="H11" s="32" t="str"/>
      <x:c r="I11" s="32" t="n">
        <x:f>IFERROR(VLOOKUP(B11,'问题集'!$A$2:$K$21,9,FALSE),"")</x:f>
        <x:v>3</x:v>
      </x:c>
      <x:c r="J11" s="38" t="n">
        <x:f>IFERROR(F11/I11,"")</x:f>
        <x:v>0</x:v>
      </x:c>
      <x:c r="K11" s="38" t="n">
        <x:f>IFERROR(G11/I11,"")</x:f>
        <x:v>0</x:v>
      </x:c>
      <x:c r="L11" s="38" t="str">
        <x:f>IF(F11="","",--(F11&gt;0))</x:f>
      </x:c>
      <x:c r="M11" s="38" t="str">
        <x:f>IFERROR(1/H11,"")</x:f>
      </x:c>
      <x:c r="N11" s="32" t="n">
        <x:f>IFERROR(VLOOKUP(B11,'问题集'!$A$2:$K$21,10,FALSE),"")</x:f>
        <x:v>3</x:v>
      </x:c>
      <x:c r="O11" s="32" t="str"/>
      <x:c r="P11" s="38" t="n">
        <x:f>IFERROR(O11/N11,"")</x:f>
        <x:v>0</x:v>
      </x:c>
      <x:c r="Q11" s="32" t="str"/>
      <x:c r="R11" s="32" t="str"/>
      <x:c r="S11" s="38" t="str">
        <x:f>IFERROR(R11/Q11,"")</x:f>
      </x:c>
      <x:c r="T11" s="32" t="str"/>
      <x:c r="U11" s="32" t="str"/>
      <x:c r="V11" s="38" t="str">
        <x:f>IFERROR(U11/T11,"")</x:f>
      </x:c>
      <x:c r="W11" s="32" t="str"/>
      <x:c r="X11" s="38" t="str">
        <x:f>IFERROR(W11/Q11,"")</x:f>
      </x:c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  <x:c r="AG11" s="32" t="str"/>
      <x:c r="AH11" s="32" t="str"/>
      <x:c r="AI11" s="32" t="str"/>
      <x:c r="AJ11" s="32" t="str"/>
    </x:row>
    <x:row r="12">
      <x:c r="A12" s="32" t="str">
        <x:v>CA-004-T2</x:v>
      </x:c>
      <x:c r="B12" s="32" t="str">
        <x:v>CA-004</x:v>
      </x:c>
      <x:c r="C12" s="32" t="str">
        <x:v>Full Harness</x:v>
      </x:c>
      <x:c r="D12" s="32" t="n">
        <x:v>2</x:v>
      </x:c>
      <x:c r="E12" s="32" t="str"/>
      <x:c r="F12" s="32" t="str"/>
      <x:c r="G12" s="32" t="str"/>
      <x:c r="H12" s="32" t="str"/>
      <x:c r="I12" s="32" t="n">
        <x:f>IFERROR(VLOOKUP(B12,'问题集'!$A$2:$K$21,9,FALSE),"")</x:f>
        <x:v>3</x:v>
      </x:c>
      <x:c r="J12" s="38" t="n">
        <x:f>IFERROR(F12/I12,"")</x:f>
        <x:v>0</x:v>
      </x:c>
      <x:c r="K12" s="38" t="n">
        <x:f>IFERROR(G12/I12,"")</x:f>
        <x:v>0</x:v>
      </x:c>
      <x:c r="L12" s="38" t="str">
        <x:f>IF(F12="","",--(F12&gt;0))</x:f>
      </x:c>
      <x:c r="M12" s="38" t="str">
        <x:f>IFERROR(1/H12,"")</x:f>
      </x:c>
      <x:c r="N12" s="32" t="n">
        <x:f>IFERROR(VLOOKUP(B12,'问题集'!$A$2:$K$21,10,FALSE),"")</x:f>
        <x:v>3</x:v>
      </x:c>
      <x:c r="O12" s="32" t="str"/>
      <x:c r="P12" s="38" t="n">
        <x:f>IFERROR(O12/N12,"")</x:f>
        <x:v>0</x:v>
      </x:c>
      <x:c r="Q12" s="32" t="str"/>
      <x:c r="R12" s="32" t="str"/>
      <x:c r="S12" s="38" t="str">
        <x:f>IFERROR(R12/Q12,"")</x:f>
      </x:c>
      <x:c r="T12" s="32" t="str"/>
      <x:c r="U12" s="32" t="str"/>
      <x:c r="V12" s="38" t="str">
        <x:f>IFERROR(U12/T12,"")</x:f>
      </x:c>
      <x:c r="W12" s="32" t="str"/>
      <x:c r="X12" s="38" t="str">
        <x:f>IFERROR(W12/Q12,"")</x:f>
      </x:c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  <x:c r="AG12" s="32" t="str"/>
      <x:c r="AH12" s="32" t="str"/>
      <x:c r="AI12" s="32" t="str"/>
      <x:c r="AJ12" s="32" t="str"/>
    </x:row>
    <x:row r="13">
      <x:c r="A13" s="32" t="str">
        <x:v>CA-004-T3</x:v>
      </x:c>
      <x:c r="B13" s="32" t="str">
        <x:v>CA-004</x:v>
      </x:c>
      <x:c r="C13" s="32" t="str">
        <x:v>Full Harness</x:v>
      </x:c>
      <x:c r="D13" s="32" t="n">
        <x:v>3</x:v>
      </x:c>
      <x:c r="E13" s="32" t="str"/>
      <x:c r="F13" s="32" t="str"/>
      <x:c r="G13" s="32" t="str"/>
      <x:c r="H13" s="32" t="str"/>
      <x:c r="I13" s="32" t="n">
        <x:f>IFERROR(VLOOKUP(B13,'问题集'!$A$2:$K$21,9,FALSE),"")</x:f>
        <x:v>3</x:v>
      </x:c>
      <x:c r="J13" s="38" t="n">
        <x:f>IFERROR(F13/I13,"")</x:f>
        <x:v>0</x:v>
      </x:c>
      <x:c r="K13" s="38" t="n">
        <x:f>IFERROR(G13/I13,"")</x:f>
        <x:v>0</x:v>
      </x:c>
      <x:c r="L13" s="38" t="str">
        <x:f>IF(F13="","",--(F13&gt;0))</x:f>
      </x:c>
      <x:c r="M13" s="38" t="str">
        <x:f>IFERROR(1/H13,"")</x:f>
      </x:c>
      <x:c r="N13" s="32" t="n">
        <x:f>IFERROR(VLOOKUP(B13,'问题集'!$A$2:$K$21,10,FALSE),"")</x:f>
        <x:v>3</x:v>
      </x:c>
      <x:c r="O13" s="32" t="str"/>
      <x:c r="P13" s="38" t="n">
        <x:f>IFERROR(O13/N13,"")</x:f>
        <x:v>0</x:v>
      </x:c>
      <x:c r="Q13" s="32" t="str"/>
      <x:c r="R13" s="32" t="str"/>
      <x:c r="S13" s="38" t="str">
        <x:f>IFERROR(R13/Q13,"")</x:f>
      </x:c>
      <x:c r="T13" s="32" t="str"/>
      <x:c r="U13" s="32" t="str"/>
      <x:c r="V13" s="38" t="str">
        <x:f>IFERROR(U13/T13,"")</x:f>
      </x:c>
      <x:c r="W13" s="32" t="str"/>
      <x:c r="X13" s="38" t="str">
        <x:f>IFERROR(W13/Q13,"")</x:f>
      </x:c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  <x:c r="AG13" s="32" t="str"/>
      <x:c r="AH13" s="32" t="str"/>
      <x:c r="AI13" s="32" t="str"/>
      <x:c r="AJ13" s="32" t="str"/>
    </x:row>
    <x:row r="14">
      <x:c r="A14" s="32" t="str">
        <x:v>CA-005-T1</x:v>
      </x:c>
      <x:c r="B14" s="32" t="str">
        <x:v>CA-005</x:v>
      </x:c>
      <x:c r="C14" s="32" t="str">
        <x:v>Full Harness</x:v>
      </x:c>
      <x:c r="D14" s="32" t="n">
        <x:v>1</x:v>
      </x:c>
      <x:c r="E14" s="32" t="str"/>
      <x:c r="F14" s="32" t="str"/>
      <x:c r="G14" s="32" t="str"/>
      <x:c r="H14" s="32" t="str"/>
      <x:c r="I14" s="32" t="n">
        <x:f>IFERROR(VLOOKUP(B14,'问题集'!$A$2:$K$21,9,FALSE),"")</x:f>
        <x:v>2</x:v>
      </x:c>
      <x:c r="J14" s="38" t="n">
        <x:f>IFERROR(F14/I14,"")</x:f>
        <x:v>0</x:v>
      </x:c>
      <x:c r="K14" s="38" t="n">
        <x:f>IFERROR(G14/I14,"")</x:f>
        <x:v>0</x:v>
      </x:c>
      <x:c r="L14" s="38" t="str">
        <x:f>IF(F14="","",--(F14&gt;0))</x:f>
      </x:c>
      <x:c r="M14" s="38" t="str">
        <x:f>IFERROR(1/H14,"")</x:f>
      </x:c>
      <x:c r="N14" s="32" t="n">
        <x:f>IFERROR(VLOOKUP(B14,'问题集'!$A$2:$K$21,10,FALSE),"")</x:f>
        <x:v>3</x:v>
      </x:c>
      <x:c r="O14" s="32" t="str"/>
      <x:c r="P14" s="38" t="n">
        <x:f>IFERROR(O14/N14,"")</x:f>
        <x:v>0</x:v>
      </x:c>
      <x:c r="Q14" s="32" t="str"/>
      <x:c r="R14" s="32" t="str"/>
      <x:c r="S14" s="38" t="str">
        <x:f>IFERROR(R14/Q14,"")</x:f>
      </x:c>
      <x:c r="T14" s="32" t="str"/>
      <x:c r="U14" s="32" t="str"/>
      <x:c r="V14" s="38" t="str">
        <x:f>IFERROR(U14/T14,"")</x:f>
      </x:c>
      <x:c r="W14" s="32" t="str"/>
      <x:c r="X14" s="38" t="str">
        <x:f>IFERROR(W14/Q14,"")</x:f>
      </x:c>
      <x:c r="Y14" s="32" t="str"/>
      <x:c r="Z14" s="32" t="str"/>
      <x:c r="AA14" s="32" t="str"/>
      <x:c r="AB14" s="32" t="str"/>
      <x:c r="AC14" s="32" t="str"/>
      <x:c r="AD14" s="32" t="str"/>
      <x:c r="AE14" s="32" t="str"/>
      <x:c r="AF14" s="32" t="str"/>
      <x:c r="AG14" s="32" t="str"/>
      <x:c r="AH14" s="32" t="str"/>
      <x:c r="AI14" s="32" t="str"/>
      <x:c r="AJ14" s="32" t="str"/>
    </x:row>
    <x:row r="15">
      <x:c r="A15" s="32" t="str">
        <x:v>CA-005-T2</x:v>
      </x:c>
      <x:c r="B15" s="32" t="str">
        <x:v>CA-005</x:v>
      </x:c>
      <x:c r="C15" s="32" t="str">
        <x:v>Full Harness</x:v>
      </x:c>
      <x:c r="D15" s="32" t="n">
        <x:v>2</x:v>
      </x:c>
      <x:c r="E15" s="32" t="str"/>
      <x:c r="F15" s="32" t="str"/>
      <x:c r="G15" s="32" t="str"/>
      <x:c r="H15" s="32" t="str"/>
      <x:c r="I15" s="32" t="n">
        <x:f>IFERROR(VLOOKUP(B15,'问题集'!$A$2:$K$21,9,FALSE),"")</x:f>
        <x:v>2</x:v>
      </x:c>
      <x:c r="J15" s="38" t="n">
        <x:f>IFERROR(F15/I15,"")</x:f>
        <x:v>0</x:v>
      </x:c>
      <x:c r="K15" s="38" t="n">
        <x:f>IFERROR(G15/I15,"")</x:f>
        <x:v>0</x:v>
      </x:c>
      <x:c r="L15" s="38" t="str">
        <x:f>IF(F15="","",--(F15&gt;0))</x:f>
      </x:c>
      <x:c r="M15" s="38" t="str">
        <x:f>IFERROR(1/H15,"")</x:f>
      </x:c>
      <x:c r="N15" s="32" t="n">
        <x:f>IFERROR(VLOOKUP(B15,'问题集'!$A$2:$K$21,10,FALSE),"")</x:f>
        <x:v>3</x:v>
      </x:c>
      <x:c r="O15" s="32" t="str"/>
      <x:c r="P15" s="38" t="n">
        <x:f>IFERROR(O15/N15,"")</x:f>
        <x:v>0</x:v>
      </x:c>
      <x:c r="Q15" s="32" t="str"/>
      <x:c r="R15" s="32" t="str"/>
      <x:c r="S15" s="38" t="str">
        <x:f>IFERROR(R15/Q15,"")</x:f>
      </x:c>
      <x:c r="T15" s="32" t="str"/>
      <x:c r="U15" s="32" t="str"/>
      <x:c r="V15" s="38" t="str">
        <x:f>IFERROR(U15/T15,"")</x:f>
      </x:c>
      <x:c r="W15" s="32" t="str"/>
      <x:c r="X15" s="38" t="str">
        <x:f>IFERROR(W15/Q15,"")</x:f>
      </x:c>
      <x:c r="Y15" s="32" t="str"/>
      <x:c r="Z15" s="32" t="str"/>
      <x:c r="AA15" s="32" t="str"/>
      <x:c r="AB15" s="32" t="str"/>
      <x:c r="AC15" s="32" t="str"/>
      <x:c r="AD15" s="32" t="str"/>
      <x:c r="AE15" s="32" t="str"/>
      <x:c r="AF15" s="32" t="str"/>
      <x:c r="AG15" s="32" t="str"/>
      <x:c r="AH15" s="32" t="str"/>
      <x:c r="AI15" s="32" t="str"/>
      <x:c r="AJ15" s="32" t="str"/>
    </x:row>
    <x:row r="16">
      <x:c r="A16" s="32" t="str">
        <x:v>CA-005-T3</x:v>
      </x:c>
      <x:c r="B16" s="32" t="str">
        <x:v>CA-005</x:v>
      </x:c>
      <x:c r="C16" s="32" t="str">
        <x:v>Full Harness</x:v>
      </x:c>
      <x:c r="D16" s="32" t="n">
        <x:v>3</x:v>
      </x:c>
      <x:c r="E16" s="32" t="str"/>
      <x:c r="F16" s="32" t="str"/>
      <x:c r="G16" s="32" t="str"/>
      <x:c r="H16" s="32" t="str"/>
      <x:c r="I16" s="32" t="n">
        <x:f>IFERROR(VLOOKUP(B16,'问题集'!$A$2:$K$21,9,FALSE),"")</x:f>
        <x:v>2</x:v>
      </x:c>
      <x:c r="J16" s="38" t="n">
        <x:f>IFERROR(F16/I16,"")</x:f>
        <x:v>0</x:v>
      </x:c>
      <x:c r="K16" s="38" t="n">
        <x:f>IFERROR(G16/I16,"")</x:f>
        <x:v>0</x:v>
      </x:c>
      <x:c r="L16" s="38" t="str">
        <x:f>IF(F16="","",--(F16&gt;0))</x:f>
      </x:c>
      <x:c r="M16" s="38" t="str">
        <x:f>IFERROR(1/H16,"")</x:f>
      </x:c>
      <x:c r="N16" s="32" t="n">
        <x:f>IFERROR(VLOOKUP(B16,'问题集'!$A$2:$K$21,10,FALSE),"")</x:f>
        <x:v>3</x:v>
      </x:c>
      <x:c r="O16" s="32" t="str"/>
      <x:c r="P16" s="38" t="n">
        <x:f>IFERROR(O16/N16,"")</x:f>
        <x:v>0</x:v>
      </x:c>
      <x:c r="Q16" s="32" t="str"/>
      <x:c r="R16" s="32" t="str"/>
      <x:c r="S16" s="38" t="str">
        <x:f>IFERROR(R16/Q16,"")</x:f>
      </x:c>
      <x:c r="T16" s="32" t="str"/>
      <x:c r="U16" s="32" t="str"/>
      <x:c r="V16" s="38" t="str">
        <x:f>IFERROR(U16/T16,"")</x:f>
      </x:c>
      <x:c r="W16" s="32" t="str"/>
      <x:c r="X16" s="38" t="str">
        <x:f>IFERROR(W16/Q16,"")</x:f>
      </x:c>
      <x:c r="Y16" s="32" t="str"/>
      <x:c r="Z16" s="32" t="str"/>
      <x:c r="AA16" s="32" t="str"/>
      <x:c r="AB16" s="32" t="str"/>
      <x:c r="AC16" s="32" t="str"/>
      <x:c r="AD16" s="32" t="str"/>
      <x:c r="AE16" s="32" t="str"/>
      <x:c r="AF16" s="32" t="str"/>
      <x:c r="AG16" s="32" t="str"/>
      <x:c r="AH16" s="32" t="str"/>
      <x:c r="AI16" s="32" t="str"/>
      <x:c r="AJ16" s="32" t="str"/>
    </x:row>
    <x:row r="17">
      <x:c r="A17" s="32" t="str">
        <x:v>CA-006-T1</x:v>
      </x:c>
      <x:c r="B17" s="32" t="str">
        <x:v>CA-006</x:v>
      </x:c>
      <x:c r="C17" s="32" t="str">
        <x:v>Full Harness</x:v>
      </x:c>
      <x:c r="D17" s="32" t="n">
        <x:v>1</x:v>
      </x:c>
      <x:c r="E17" s="32" t="str"/>
      <x:c r="F17" s="32" t="str"/>
      <x:c r="G17" s="32" t="str"/>
      <x:c r="H17" s="32" t="str"/>
      <x:c r="I17" s="32" t="n">
        <x:f>IFERROR(VLOOKUP(B17,'问题集'!$A$2:$K$21,9,FALSE),"")</x:f>
        <x:v>4</x:v>
      </x:c>
      <x:c r="J17" s="38" t="n">
        <x:f>IFERROR(F17/I17,"")</x:f>
        <x:v>0</x:v>
      </x:c>
      <x:c r="K17" s="38" t="n">
        <x:f>IFERROR(G17/I17,"")</x:f>
        <x:v>0</x:v>
      </x:c>
      <x:c r="L17" s="38" t="str">
        <x:f>IF(F17="","",--(F17&gt;0))</x:f>
      </x:c>
      <x:c r="M17" s="38" t="str">
        <x:f>IFERROR(1/H17,"")</x:f>
      </x:c>
      <x:c r="N17" s="32" t="n">
        <x:f>IFERROR(VLOOKUP(B17,'问题集'!$A$2:$K$21,10,FALSE),"")</x:f>
        <x:v>3</x:v>
      </x:c>
      <x:c r="O17" s="32" t="str"/>
      <x:c r="P17" s="38" t="n">
        <x:f>IFERROR(O17/N17,"")</x:f>
        <x:v>0</x:v>
      </x:c>
      <x:c r="Q17" s="32" t="str"/>
      <x:c r="R17" s="32" t="str"/>
      <x:c r="S17" s="38" t="str">
        <x:f>IFERROR(R17/Q17,"")</x:f>
      </x:c>
      <x:c r="T17" s="32" t="str"/>
      <x:c r="U17" s="32" t="str"/>
      <x:c r="V17" s="38" t="str">
        <x:f>IFERROR(U17/T17,"")</x:f>
      </x:c>
      <x:c r="W17" s="32" t="str"/>
      <x:c r="X17" s="38" t="str">
        <x:f>IFERROR(W17/Q17,"")</x:f>
      </x:c>
      <x:c r="Y17" s="32" t="str"/>
      <x:c r="Z17" s="32" t="str"/>
      <x:c r="AA17" s="32" t="str"/>
      <x:c r="AB17" s="32" t="str"/>
      <x:c r="AC17" s="32" t="str"/>
      <x:c r="AD17" s="32" t="str"/>
      <x:c r="AE17" s="32" t="str"/>
      <x:c r="AF17" s="32" t="str"/>
      <x:c r="AG17" s="32" t="str"/>
      <x:c r="AH17" s="32" t="str"/>
      <x:c r="AI17" s="32" t="str"/>
      <x:c r="AJ17" s="32" t="str"/>
    </x:row>
    <x:row r="18">
      <x:c r="A18" s="32" t="str">
        <x:v>CA-006-T2</x:v>
      </x:c>
      <x:c r="B18" s="32" t="str">
        <x:v>CA-006</x:v>
      </x:c>
      <x:c r="C18" s="32" t="str">
        <x:v>Full Harness</x:v>
      </x:c>
      <x:c r="D18" s="32" t="n">
        <x:v>2</x:v>
      </x:c>
      <x:c r="E18" s="32" t="str"/>
      <x:c r="F18" s="32" t="str"/>
      <x:c r="G18" s="32" t="str"/>
      <x:c r="H18" s="32" t="str"/>
      <x:c r="I18" s="32" t="n">
        <x:f>IFERROR(VLOOKUP(B18,'问题集'!$A$2:$K$21,9,FALSE),"")</x:f>
        <x:v>4</x:v>
      </x:c>
      <x:c r="J18" s="38" t="n">
        <x:f>IFERROR(F18/I18,"")</x:f>
        <x:v>0</x:v>
      </x:c>
      <x:c r="K18" s="38" t="n">
        <x:f>IFERROR(G18/I18,"")</x:f>
        <x:v>0</x:v>
      </x:c>
      <x:c r="L18" s="38" t="str">
        <x:f>IF(F18="","",--(F18&gt;0))</x:f>
      </x:c>
      <x:c r="M18" s="38" t="str">
        <x:f>IFERROR(1/H18,"")</x:f>
      </x:c>
      <x:c r="N18" s="32" t="n">
        <x:f>IFERROR(VLOOKUP(B18,'问题集'!$A$2:$K$21,10,FALSE),"")</x:f>
        <x:v>3</x:v>
      </x:c>
      <x:c r="O18" s="32" t="str"/>
      <x:c r="P18" s="38" t="n">
        <x:f>IFERROR(O18/N18,"")</x:f>
        <x:v>0</x:v>
      </x:c>
      <x:c r="Q18" s="32" t="str"/>
      <x:c r="R18" s="32" t="str"/>
      <x:c r="S18" s="38" t="str">
        <x:f>IFERROR(R18/Q18,"")</x:f>
      </x:c>
      <x:c r="T18" s="32" t="str"/>
      <x:c r="U18" s="32" t="str"/>
      <x:c r="V18" s="38" t="str">
        <x:f>IFERROR(U18/T18,"")</x:f>
      </x:c>
      <x:c r="W18" s="32" t="str"/>
      <x:c r="X18" s="38" t="str">
        <x:f>IFERROR(W18/Q18,"")</x:f>
      </x:c>
      <x:c r="Y18" s="32" t="str"/>
      <x:c r="Z18" s="32" t="str"/>
      <x:c r="AA18" s="32" t="str"/>
      <x:c r="AB18" s="32" t="str"/>
      <x:c r="AC18" s="32" t="str"/>
      <x:c r="AD18" s="32" t="str"/>
      <x:c r="AE18" s="32" t="str"/>
      <x:c r="AF18" s="32" t="str"/>
      <x:c r="AG18" s="32" t="str"/>
      <x:c r="AH18" s="32" t="str"/>
      <x:c r="AI18" s="32" t="str"/>
      <x:c r="AJ18" s="32" t="str"/>
    </x:row>
    <x:row r="19">
      <x:c r="A19" s="32" t="str">
        <x:v>CA-006-T3</x:v>
      </x:c>
      <x:c r="B19" s="32" t="str">
        <x:v>CA-006</x:v>
      </x:c>
      <x:c r="C19" s="32" t="str">
        <x:v>Full Harness</x:v>
      </x:c>
      <x:c r="D19" s="32" t="n">
        <x:v>3</x:v>
      </x:c>
      <x:c r="E19" s="32" t="str"/>
      <x:c r="F19" s="32" t="str"/>
      <x:c r="G19" s="32" t="str"/>
      <x:c r="H19" s="32" t="str"/>
      <x:c r="I19" s="32" t="n">
        <x:f>IFERROR(VLOOKUP(B19,'问题集'!$A$2:$K$21,9,FALSE),"")</x:f>
        <x:v>4</x:v>
      </x:c>
      <x:c r="J19" s="38" t="n">
        <x:f>IFERROR(F19/I19,"")</x:f>
        <x:v>0</x:v>
      </x:c>
      <x:c r="K19" s="38" t="n">
        <x:f>IFERROR(G19/I19,"")</x:f>
        <x:v>0</x:v>
      </x:c>
      <x:c r="L19" s="38" t="str">
        <x:f>IF(F19="","",--(F19&gt;0))</x:f>
      </x:c>
      <x:c r="M19" s="38" t="str">
        <x:f>IFERROR(1/H19,"")</x:f>
      </x:c>
      <x:c r="N19" s="32" t="n">
        <x:f>IFERROR(VLOOKUP(B19,'问题集'!$A$2:$K$21,10,FALSE),"")</x:f>
        <x:v>3</x:v>
      </x:c>
      <x:c r="O19" s="32" t="str"/>
      <x:c r="P19" s="38" t="n">
        <x:f>IFERROR(O19/N19,"")</x:f>
        <x:v>0</x:v>
      </x:c>
      <x:c r="Q19" s="32" t="str"/>
      <x:c r="R19" s="32" t="str"/>
      <x:c r="S19" s="38" t="str">
        <x:f>IFERROR(R19/Q19,"")</x:f>
      </x:c>
      <x:c r="T19" s="32" t="str"/>
      <x:c r="U19" s="32" t="str"/>
      <x:c r="V19" s="38" t="str">
        <x:f>IFERROR(U19/T19,"")</x:f>
      </x:c>
      <x:c r="W19" s="32" t="str"/>
      <x:c r="X19" s="38" t="str">
        <x:f>IFERROR(W19/Q19,"")</x:f>
      </x:c>
      <x:c r="Y19" s="32" t="str"/>
      <x:c r="Z19" s="32" t="str"/>
      <x:c r="AA19" s="32" t="str"/>
      <x:c r="AB19" s="32" t="str"/>
      <x:c r="AC19" s="32" t="str"/>
      <x:c r="AD19" s="32" t="str"/>
      <x:c r="AE19" s="32" t="str"/>
      <x:c r="AF19" s="32" t="str"/>
      <x:c r="AG19" s="32" t="str"/>
      <x:c r="AH19" s="32" t="str"/>
      <x:c r="AI19" s="32" t="str"/>
      <x:c r="AJ19" s="32" t="str"/>
    </x:row>
    <x:row r="20">
      <x:c r="A20" s="32" t="str">
        <x:v>CA-007-T1</x:v>
      </x:c>
      <x:c r="B20" s="32" t="str">
        <x:v>CA-007</x:v>
      </x:c>
      <x:c r="C20" s="32" t="str">
        <x:v>Full Harness</x:v>
      </x:c>
      <x:c r="D20" s="32" t="n">
        <x:v>1</x:v>
      </x:c>
      <x:c r="E20" s="32" t="str"/>
      <x:c r="F20" s="32" t="str"/>
      <x:c r="G20" s="32" t="str"/>
      <x:c r="H20" s="32" t="str"/>
      <x:c r="I20" s="32" t="n">
        <x:f>IFERROR(VLOOKUP(B20,'问题集'!$A$2:$K$21,9,FALSE),"")</x:f>
        <x:v>4</x:v>
      </x:c>
      <x:c r="J20" s="38" t="n">
        <x:f>IFERROR(F20/I20,"")</x:f>
        <x:v>0</x:v>
      </x:c>
      <x:c r="K20" s="38" t="n">
        <x:f>IFERROR(G20/I20,"")</x:f>
        <x:v>0</x:v>
      </x:c>
      <x:c r="L20" s="38" t="str">
        <x:f>IF(F20="","",--(F20&gt;0))</x:f>
      </x:c>
      <x:c r="M20" s="38" t="str">
        <x:f>IFERROR(1/H20,"")</x:f>
      </x:c>
      <x:c r="N20" s="32" t="n">
        <x:f>IFERROR(VLOOKUP(B20,'问题集'!$A$2:$K$21,10,FALSE),"")</x:f>
        <x:v>3</x:v>
      </x:c>
      <x:c r="O20" s="32" t="str"/>
      <x:c r="P20" s="38" t="n">
        <x:f>IFERROR(O20/N20,"")</x:f>
        <x:v>0</x:v>
      </x:c>
      <x:c r="Q20" s="32" t="str"/>
      <x:c r="R20" s="32" t="str"/>
      <x:c r="S20" s="38" t="str">
        <x:f>IFERROR(R20/Q20,"")</x:f>
      </x:c>
      <x:c r="T20" s="32" t="str"/>
      <x:c r="U20" s="32" t="str"/>
      <x:c r="V20" s="38" t="str">
        <x:f>IFERROR(U20/T20,"")</x:f>
      </x:c>
      <x:c r="W20" s="32" t="str"/>
      <x:c r="X20" s="38" t="str">
        <x:f>IFERROR(W20/Q20,"")</x:f>
      </x:c>
      <x:c r="Y20" s="32" t="str"/>
      <x:c r="Z20" s="32" t="str"/>
      <x:c r="AA20" s="32" t="str"/>
      <x:c r="AB20" s="32" t="str"/>
      <x:c r="AC20" s="32" t="str"/>
      <x:c r="AD20" s="32" t="str"/>
      <x:c r="AE20" s="32" t="str"/>
      <x:c r="AF20" s="32" t="str"/>
      <x:c r="AG20" s="32" t="str"/>
      <x:c r="AH20" s="32" t="str"/>
      <x:c r="AI20" s="32" t="str"/>
      <x:c r="AJ20" s="32" t="str"/>
    </x:row>
    <x:row r="21">
      <x:c r="A21" s="32" t="str">
        <x:v>CA-007-T2</x:v>
      </x:c>
      <x:c r="B21" s="32" t="str">
        <x:v>CA-007</x:v>
      </x:c>
      <x:c r="C21" s="32" t="str">
        <x:v>Full Harness</x:v>
      </x:c>
      <x:c r="D21" s="32" t="n">
        <x:v>2</x:v>
      </x:c>
      <x:c r="E21" s="32" t="str"/>
      <x:c r="F21" s="32" t="str"/>
      <x:c r="G21" s="32" t="str"/>
      <x:c r="H21" s="32" t="str"/>
      <x:c r="I21" s="32" t="n">
        <x:f>IFERROR(VLOOKUP(B21,'问题集'!$A$2:$K$21,9,FALSE),"")</x:f>
        <x:v>4</x:v>
      </x:c>
      <x:c r="J21" s="38" t="n">
        <x:f>IFERROR(F21/I21,"")</x:f>
        <x:v>0</x:v>
      </x:c>
      <x:c r="K21" s="38" t="n">
        <x:f>IFERROR(G21/I21,"")</x:f>
        <x:v>0</x:v>
      </x:c>
      <x:c r="L21" s="38" t="str">
        <x:f>IF(F21="","",--(F21&gt;0))</x:f>
      </x:c>
      <x:c r="M21" s="38" t="str">
        <x:f>IFERROR(1/H21,"")</x:f>
      </x:c>
      <x:c r="N21" s="32" t="n">
        <x:f>IFERROR(VLOOKUP(B21,'问题集'!$A$2:$K$21,10,FALSE),"")</x:f>
        <x:v>3</x:v>
      </x:c>
      <x:c r="O21" s="32" t="str"/>
      <x:c r="P21" s="38" t="n">
        <x:f>IFERROR(O21/N21,"")</x:f>
        <x:v>0</x:v>
      </x:c>
      <x:c r="Q21" s="32" t="str"/>
      <x:c r="R21" s="32" t="str"/>
      <x:c r="S21" s="38" t="str">
        <x:f>IFERROR(R21/Q21,"")</x:f>
      </x:c>
      <x:c r="T21" s="32" t="str"/>
      <x:c r="U21" s="32" t="str"/>
      <x:c r="V21" s="38" t="str">
        <x:f>IFERROR(U21/T21,"")</x:f>
      </x:c>
      <x:c r="W21" s="32" t="str"/>
      <x:c r="X21" s="38" t="str">
        <x:f>IFERROR(W21/Q21,"")</x:f>
      </x:c>
      <x:c r="Y21" s="32" t="str"/>
      <x:c r="Z21" s="32" t="str"/>
      <x:c r="AA21" s="32" t="str"/>
      <x:c r="AB21" s="32" t="str"/>
      <x:c r="AC21" s="32" t="str"/>
      <x:c r="AD21" s="32" t="str"/>
      <x:c r="AE21" s="32" t="str"/>
      <x:c r="AF21" s="32" t="str"/>
      <x:c r="AG21" s="32" t="str"/>
      <x:c r="AH21" s="32" t="str"/>
      <x:c r="AI21" s="32" t="str"/>
      <x:c r="AJ21" s="32" t="str"/>
    </x:row>
    <x:row r="22">
      <x:c r="A22" s="32" t="str">
        <x:v>CA-007-T3</x:v>
      </x:c>
      <x:c r="B22" s="32" t="str">
        <x:v>CA-007</x:v>
      </x:c>
      <x:c r="C22" s="32" t="str">
        <x:v>Full Harness</x:v>
      </x:c>
      <x:c r="D22" s="32" t="n">
        <x:v>3</x:v>
      </x:c>
      <x:c r="E22" s="32" t="str"/>
      <x:c r="F22" s="32" t="str"/>
      <x:c r="G22" s="32" t="str"/>
      <x:c r="H22" s="32" t="str"/>
      <x:c r="I22" s="32" t="n">
        <x:f>IFERROR(VLOOKUP(B22,'问题集'!$A$2:$K$21,9,FALSE),"")</x:f>
        <x:v>4</x:v>
      </x:c>
      <x:c r="J22" s="38" t="n">
        <x:f>IFERROR(F22/I22,"")</x:f>
        <x:v>0</x:v>
      </x:c>
      <x:c r="K22" s="38" t="n">
        <x:f>IFERROR(G22/I22,"")</x:f>
        <x:v>0</x:v>
      </x:c>
      <x:c r="L22" s="38" t="str">
        <x:f>IF(F22="","",--(F22&gt;0))</x:f>
      </x:c>
      <x:c r="M22" s="38" t="str">
        <x:f>IFERROR(1/H22,"")</x:f>
      </x:c>
      <x:c r="N22" s="32" t="n">
        <x:f>IFERROR(VLOOKUP(B22,'问题集'!$A$2:$K$21,10,FALSE),"")</x:f>
        <x:v>3</x:v>
      </x:c>
      <x:c r="O22" s="32" t="str"/>
      <x:c r="P22" s="38" t="n">
        <x:f>IFERROR(O22/N22,"")</x:f>
        <x:v>0</x:v>
      </x:c>
      <x:c r="Q22" s="32" t="str"/>
      <x:c r="R22" s="32" t="str"/>
      <x:c r="S22" s="38" t="str">
        <x:f>IFERROR(R22/Q22,"")</x:f>
      </x:c>
      <x:c r="T22" s="32" t="str"/>
      <x:c r="U22" s="32" t="str"/>
      <x:c r="V22" s="38" t="str">
        <x:f>IFERROR(U22/T22,"")</x:f>
      </x:c>
      <x:c r="W22" s="32" t="str"/>
      <x:c r="X22" s="38" t="str">
        <x:f>IFERROR(W22/Q22,"")</x:f>
      </x:c>
      <x:c r="Y22" s="32" t="str"/>
      <x:c r="Z22" s="32" t="str"/>
      <x:c r="AA22" s="32" t="str"/>
      <x:c r="AB22" s="32" t="str"/>
      <x:c r="AC22" s="32" t="str"/>
      <x:c r="AD22" s="32" t="str"/>
      <x:c r="AE22" s="32" t="str"/>
      <x:c r="AF22" s="32" t="str"/>
      <x:c r="AG22" s="32" t="str"/>
      <x:c r="AH22" s="32" t="str"/>
      <x:c r="AI22" s="32" t="str"/>
      <x:c r="AJ22" s="32" t="str"/>
    </x:row>
    <x:row r="23">
      <x:c r="A23" s="32" t="str">
        <x:v>CA-008-T1</x:v>
      </x:c>
      <x:c r="B23" s="32" t="str">
        <x:v>CA-008</x:v>
      </x:c>
      <x:c r="C23" s="32" t="str">
        <x:v>Full Harness</x:v>
      </x:c>
      <x:c r="D23" s="32" t="n">
        <x:v>1</x:v>
      </x:c>
      <x:c r="E23" s="32" t="str"/>
      <x:c r="F23" s="32" t="str"/>
      <x:c r="G23" s="32" t="str"/>
      <x:c r="H23" s="32" t="str"/>
      <x:c r="I23" s="32" t="n">
        <x:f>IFERROR(VLOOKUP(B23,'问题集'!$A$2:$K$21,9,FALSE),"")</x:f>
        <x:v>3</x:v>
      </x:c>
      <x:c r="J23" s="38" t="n">
        <x:f>IFERROR(F23/I23,"")</x:f>
        <x:v>0</x:v>
      </x:c>
      <x:c r="K23" s="38" t="n">
        <x:f>IFERROR(G23/I23,"")</x:f>
        <x:v>0</x:v>
      </x:c>
      <x:c r="L23" s="38" t="str">
        <x:f>IF(F23="","",--(F23&gt;0))</x:f>
      </x:c>
      <x:c r="M23" s="38" t="str">
        <x:f>IFERROR(1/H23,"")</x:f>
      </x:c>
      <x:c r="N23" s="32" t="n">
        <x:f>IFERROR(VLOOKUP(B23,'问题集'!$A$2:$K$21,10,FALSE),"")</x:f>
        <x:v>4</x:v>
      </x:c>
      <x:c r="O23" s="32" t="str"/>
      <x:c r="P23" s="38" t="n">
        <x:f>IFERROR(O23/N23,"")</x:f>
        <x:v>0</x:v>
      </x:c>
      <x:c r="Q23" s="32" t="str"/>
      <x:c r="R23" s="32" t="str"/>
      <x:c r="S23" s="38" t="str">
        <x:f>IFERROR(R23/Q23,"")</x:f>
      </x:c>
      <x:c r="T23" s="32" t="str"/>
      <x:c r="U23" s="32" t="str"/>
      <x:c r="V23" s="38" t="str">
        <x:f>IFERROR(U23/T23,"")</x:f>
      </x:c>
      <x:c r="W23" s="32" t="str"/>
      <x:c r="X23" s="38" t="str">
        <x:f>IFERROR(W23/Q23,"")</x:f>
      </x:c>
      <x:c r="Y23" s="32" t="str"/>
      <x:c r="Z23" s="32" t="str"/>
      <x:c r="AA23" s="32" t="str"/>
      <x:c r="AB23" s="32" t="str"/>
      <x:c r="AC23" s="32" t="str"/>
      <x:c r="AD23" s="32" t="str"/>
      <x:c r="AE23" s="32" t="str"/>
      <x:c r="AF23" s="32" t="str"/>
      <x:c r="AG23" s="32" t="str"/>
      <x:c r="AH23" s="32" t="str"/>
      <x:c r="AI23" s="32" t="str"/>
      <x:c r="AJ23" s="32" t="str"/>
    </x:row>
    <x:row r="24">
      <x:c r="A24" s="32" t="str">
        <x:v>CA-008-T2</x:v>
      </x:c>
      <x:c r="B24" s="32" t="str">
        <x:v>CA-008</x:v>
      </x:c>
      <x:c r="C24" s="32" t="str">
        <x:v>Full Harness</x:v>
      </x:c>
      <x:c r="D24" s="32" t="n">
        <x:v>2</x:v>
      </x:c>
      <x:c r="E24" s="32" t="str"/>
      <x:c r="F24" s="32" t="str"/>
      <x:c r="G24" s="32" t="str"/>
      <x:c r="H24" s="32" t="str"/>
      <x:c r="I24" s="32" t="n">
        <x:f>IFERROR(VLOOKUP(B24,'问题集'!$A$2:$K$21,9,FALSE),"")</x:f>
        <x:v>3</x:v>
      </x:c>
      <x:c r="J24" s="38" t="n">
        <x:f>IFERROR(F24/I24,"")</x:f>
        <x:v>0</x:v>
      </x:c>
      <x:c r="K24" s="38" t="n">
        <x:f>IFERROR(G24/I24,"")</x:f>
        <x:v>0</x:v>
      </x:c>
      <x:c r="L24" s="38" t="str">
        <x:f>IF(F24="","",--(F24&gt;0))</x:f>
      </x:c>
      <x:c r="M24" s="38" t="str">
        <x:f>IFERROR(1/H24,"")</x:f>
      </x:c>
      <x:c r="N24" s="32" t="n">
        <x:f>IFERROR(VLOOKUP(B24,'问题集'!$A$2:$K$21,10,FALSE),"")</x:f>
        <x:v>4</x:v>
      </x:c>
      <x:c r="O24" s="32" t="str"/>
      <x:c r="P24" s="38" t="n">
        <x:f>IFERROR(O24/N24,"")</x:f>
        <x:v>0</x:v>
      </x:c>
      <x:c r="Q24" s="32" t="str"/>
      <x:c r="R24" s="32" t="str"/>
      <x:c r="S24" s="38" t="str">
        <x:f>IFERROR(R24/Q24,"")</x:f>
      </x:c>
      <x:c r="T24" s="32" t="str"/>
      <x:c r="U24" s="32" t="str"/>
      <x:c r="V24" s="38" t="str">
        <x:f>IFERROR(U24/T24,"")</x:f>
      </x:c>
      <x:c r="W24" s="32" t="str"/>
      <x:c r="X24" s="38" t="str">
        <x:f>IFERROR(W24/Q24,"")</x:f>
      </x:c>
      <x:c r="Y24" s="32" t="str"/>
      <x:c r="Z24" s="32" t="str"/>
      <x:c r="AA24" s="32" t="str"/>
      <x:c r="AB24" s="32" t="str"/>
      <x:c r="AC24" s="32" t="str"/>
      <x:c r="AD24" s="32" t="str"/>
      <x:c r="AE24" s="32" t="str"/>
      <x:c r="AF24" s="32" t="str"/>
      <x:c r="AG24" s="32" t="str"/>
      <x:c r="AH24" s="32" t="str"/>
      <x:c r="AI24" s="32" t="str"/>
      <x:c r="AJ24" s="32" t="str"/>
    </x:row>
    <x:row r="25">
      <x:c r="A25" s="32" t="str">
        <x:v>CA-008-T3</x:v>
      </x:c>
      <x:c r="B25" s="32" t="str">
        <x:v>CA-008</x:v>
      </x:c>
      <x:c r="C25" s="32" t="str">
        <x:v>Full Harness</x:v>
      </x:c>
      <x:c r="D25" s="32" t="n">
        <x:v>3</x:v>
      </x:c>
      <x:c r="E25" s="32" t="str"/>
      <x:c r="F25" s="32" t="str"/>
      <x:c r="G25" s="32" t="str"/>
      <x:c r="H25" s="32" t="str"/>
      <x:c r="I25" s="32" t="n">
        <x:f>IFERROR(VLOOKUP(B25,'问题集'!$A$2:$K$21,9,FALSE),"")</x:f>
        <x:v>3</x:v>
      </x:c>
      <x:c r="J25" s="38" t="n">
        <x:f>IFERROR(F25/I25,"")</x:f>
        <x:v>0</x:v>
      </x:c>
      <x:c r="K25" s="38" t="n">
        <x:f>IFERROR(G25/I25,"")</x:f>
        <x:v>0</x:v>
      </x:c>
      <x:c r="L25" s="38" t="str">
        <x:f>IF(F25="","",--(F25&gt;0))</x:f>
      </x:c>
      <x:c r="M25" s="38" t="str">
        <x:f>IFERROR(1/H25,"")</x:f>
      </x:c>
      <x:c r="N25" s="32" t="n">
        <x:f>IFERROR(VLOOKUP(B25,'问题集'!$A$2:$K$21,10,FALSE),"")</x:f>
        <x:v>4</x:v>
      </x:c>
      <x:c r="O25" s="32" t="str"/>
      <x:c r="P25" s="38" t="n">
        <x:f>IFERROR(O25/N25,"")</x:f>
        <x:v>0</x:v>
      </x:c>
      <x:c r="Q25" s="32" t="str"/>
      <x:c r="R25" s="32" t="str"/>
      <x:c r="S25" s="38" t="str">
        <x:f>IFERROR(R25/Q25,"")</x:f>
      </x:c>
      <x:c r="T25" s="32" t="str"/>
      <x:c r="U25" s="32" t="str"/>
      <x:c r="V25" s="38" t="str">
        <x:f>IFERROR(U25/T25,"")</x:f>
      </x:c>
      <x:c r="W25" s="32" t="str"/>
      <x:c r="X25" s="38" t="str">
        <x:f>IFERROR(W25/Q25,"")</x:f>
      </x:c>
      <x:c r="Y25" s="32" t="str"/>
      <x:c r="Z25" s="32" t="str"/>
      <x:c r="AA25" s="32" t="str"/>
      <x:c r="AB25" s="32" t="str"/>
      <x:c r="AC25" s="32" t="str"/>
      <x:c r="AD25" s="32" t="str"/>
      <x:c r="AE25" s="32" t="str"/>
      <x:c r="AF25" s="32" t="str"/>
      <x:c r="AG25" s="32" t="str"/>
      <x:c r="AH25" s="32" t="str"/>
      <x:c r="AI25" s="32" t="str"/>
      <x:c r="AJ25" s="32" t="str"/>
    </x:row>
    <x:row r="26">
      <x:c r="A26" s="32" t="str">
        <x:v>CA-009-T1</x:v>
      </x:c>
      <x:c r="B26" s="32" t="str">
        <x:v>CA-009</x:v>
      </x:c>
      <x:c r="C26" s="32" t="str">
        <x:v>Full Harness</x:v>
      </x:c>
      <x:c r="D26" s="32" t="n">
        <x:v>1</x:v>
      </x:c>
      <x:c r="E26" s="32" t="str"/>
      <x:c r="F26" s="32" t="str"/>
      <x:c r="G26" s="32" t="str"/>
      <x:c r="H26" s="32" t="str"/>
      <x:c r="I26" s="32" t="n">
        <x:f>IFERROR(VLOOKUP(B26,'问题集'!$A$2:$K$21,9,FALSE),"")</x:f>
        <x:v>4</x:v>
      </x:c>
      <x:c r="J26" s="38" t="n">
        <x:f>IFERROR(F26/I26,"")</x:f>
        <x:v>0</x:v>
      </x:c>
      <x:c r="K26" s="38" t="n">
        <x:f>IFERROR(G26/I26,"")</x:f>
        <x:v>0</x:v>
      </x:c>
      <x:c r="L26" s="38" t="str">
        <x:f>IF(F26="","",--(F26&gt;0))</x:f>
      </x:c>
      <x:c r="M26" s="38" t="str">
        <x:f>IFERROR(1/H26,"")</x:f>
      </x:c>
      <x:c r="N26" s="32" t="n">
        <x:f>IFERROR(VLOOKUP(B26,'问题集'!$A$2:$K$21,10,FALSE),"")</x:f>
        <x:v>3</x:v>
      </x:c>
      <x:c r="O26" s="32" t="str"/>
      <x:c r="P26" s="38" t="n">
        <x:f>IFERROR(O26/N26,"")</x:f>
        <x:v>0</x:v>
      </x:c>
      <x:c r="Q26" s="32" t="str"/>
      <x:c r="R26" s="32" t="str"/>
      <x:c r="S26" s="38" t="str">
        <x:f>IFERROR(R26/Q26,"")</x:f>
      </x:c>
      <x:c r="T26" s="32" t="str"/>
      <x:c r="U26" s="32" t="str"/>
      <x:c r="V26" s="38" t="str">
        <x:f>IFERROR(U26/T26,"")</x:f>
      </x:c>
      <x:c r="W26" s="32" t="str"/>
      <x:c r="X26" s="38" t="str">
        <x:f>IFERROR(W26/Q26,"")</x:f>
      </x:c>
      <x:c r="Y26" s="32" t="str"/>
      <x:c r="Z26" s="32" t="str"/>
      <x:c r="AA26" s="32" t="str"/>
      <x:c r="AB26" s="32" t="str"/>
      <x:c r="AC26" s="32" t="str"/>
      <x:c r="AD26" s="32" t="str"/>
      <x:c r="AE26" s="32" t="str"/>
      <x:c r="AF26" s="32" t="str"/>
      <x:c r="AG26" s="32" t="str"/>
      <x:c r="AH26" s="32" t="str"/>
      <x:c r="AI26" s="32" t="str"/>
      <x:c r="AJ26" s="32" t="str"/>
    </x:row>
    <x:row r="27">
      <x:c r="A27" s="32" t="str">
        <x:v>CA-009-T2</x:v>
      </x:c>
      <x:c r="B27" s="32" t="str">
        <x:v>CA-009</x:v>
      </x:c>
      <x:c r="C27" s="32" t="str">
        <x:v>Full Harness</x:v>
      </x:c>
      <x:c r="D27" s="32" t="n">
        <x:v>2</x:v>
      </x:c>
      <x:c r="E27" s="32" t="str"/>
      <x:c r="F27" s="32" t="str"/>
      <x:c r="G27" s="32" t="str"/>
      <x:c r="H27" s="32" t="str"/>
      <x:c r="I27" s="32" t="n">
        <x:f>IFERROR(VLOOKUP(B27,'问题集'!$A$2:$K$21,9,FALSE),"")</x:f>
        <x:v>4</x:v>
      </x:c>
      <x:c r="J27" s="38" t="n">
        <x:f>IFERROR(F27/I27,"")</x:f>
        <x:v>0</x:v>
      </x:c>
      <x:c r="K27" s="38" t="n">
        <x:f>IFERROR(G27/I27,"")</x:f>
        <x:v>0</x:v>
      </x:c>
      <x:c r="L27" s="38" t="str">
        <x:f>IF(F27="","",--(F27&gt;0))</x:f>
      </x:c>
      <x:c r="M27" s="38" t="str">
        <x:f>IFERROR(1/H27,"")</x:f>
      </x:c>
      <x:c r="N27" s="32" t="n">
        <x:f>IFERROR(VLOOKUP(B27,'问题集'!$A$2:$K$21,10,FALSE),"")</x:f>
        <x:v>3</x:v>
      </x:c>
      <x:c r="O27" s="32" t="str"/>
      <x:c r="P27" s="38" t="n">
        <x:f>IFERROR(O27/N27,"")</x:f>
        <x:v>0</x:v>
      </x:c>
      <x:c r="Q27" s="32" t="str"/>
      <x:c r="R27" s="32" t="str"/>
      <x:c r="S27" s="38" t="str">
        <x:f>IFERROR(R27/Q27,"")</x:f>
      </x:c>
      <x:c r="T27" s="32" t="str"/>
      <x:c r="U27" s="32" t="str"/>
      <x:c r="V27" s="38" t="str">
        <x:f>IFERROR(U27/T27,"")</x:f>
      </x:c>
      <x:c r="W27" s="32" t="str"/>
      <x:c r="X27" s="38" t="str">
        <x:f>IFERROR(W27/Q27,"")</x:f>
      </x:c>
      <x:c r="Y27" s="32" t="str"/>
      <x:c r="Z27" s="32" t="str"/>
      <x:c r="AA27" s="32" t="str"/>
      <x:c r="AB27" s="32" t="str"/>
      <x:c r="AC27" s="32" t="str"/>
      <x:c r="AD27" s="32" t="str"/>
      <x:c r="AE27" s="32" t="str"/>
      <x:c r="AF27" s="32" t="str"/>
      <x:c r="AG27" s="32" t="str"/>
      <x:c r="AH27" s="32" t="str"/>
      <x:c r="AI27" s="32" t="str"/>
      <x:c r="AJ27" s="32" t="str"/>
    </x:row>
    <x:row r="28">
      <x:c r="A28" s="32" t="str">
        <x:v>CA-009-T3</x:v>
      </x:c>
      <x:c r="B28" s="32" t="str">
        <x:v>CA-009</x:v>
      </x:c>
      <x:c r="C28" s="32" t="str">
        <x:v>Full Harness</x:v>
      </x:c>
      <x:c r="D28" s="32" t="n">
        <x:v>3</x:v>
      </x:c>
      <x:c r="E28" s="32" t="str"/>
      <x:c r="F28" s="32" t="str"/>
      <x:c r="G28" s="32" t="str"/>
      <x:c r="H28" s="32" t="str"/>
      <x:c r="I28" s="32" t="n">
        <x:f>IFERROR(VLOOKUP(B28,'问题集'!$A$2:$K$21,9,FALSE),"")</x:f>
        <x:v>4</x:v>
      </x:c>
      <x:c r="J28" s="38" t="n">
        <x:f>IFERROR(F28/I28,"")</x:f>
        <x:v>0</x:v>
      </x:c>
      <x:c r="K28" s="38" t="n">
        <x:f>IFERROR(G28/I28,"")</x:f>
        <x:v>0</x:v>
      </x:c>
      <x:c r="L28" s="38" t="str">
        <x:f>IF(F28="","",--(F28&gt;0))</x:f>
      </x:c>
      <x:c r="M28" s="38" t="str">
        <x:f>IFERROR(1/H28,"")</x:f>
      </x:c>
      <x:c r="N28" s="32" t="n">
        <x:f>IFERROR(VLOOKUP(B28,'问题集'!$A$2:$K$21,10,FALSE),"")</x:f>
        <x:v>3</x:v>
      </x:c>
      <x:c r="O28" s="32" t="str"/>
      <x:c r="P28" s="38" t="n">
        <x:f>IFERROR(O28/N28,"")</x:f>
        <x:v>0</x:v>
      </x:c>
      <x:c r="Q28" s="32" t="str"/>
      <x:c r="R28" s="32" t="str"/>
      <x:c r="S28" s="38" t="str">
        <x:f>IFERROR(R28/Q28,"")</x:f>
      </x:c>
      <x:c r="T28" s="32" t="str"/>
      <x:c r="U28" s="32" t="str"/>
      <x:c r="V28" s="38" t="str">
        <x:f>IFERROR(U28/T28,"")</x:f>
      </x:c>
      <x:c r="W28" s="32" t="str"/>
      <x:c r="X28" s="38" t="str">
        <x:f>IFERROR(W28/Q28,"")</x:f>
      </x:c>
      <x:c r="Y28" s="32" t="str"/>
      <x:c r="Z28" s="32" t="str"/>
      <x:c r="AA28" s="32" t="str"/>
      <x:c r="AB28" s="32" t="str"/>
      <x:c r="AC28" s="32" t="str"/>
      <x:c r="AD28" s="32" t="str"/>
      <x:c r="AE28" s="32" t="str"/>
      <x:c r="AF28" s="32" t="str"/>
      <x:c r="AG28" s="32" t="str"/>
      <x:c r="AH28" s="32" t="str"/>
      <x:c r="AI28" s="32" t="str"/>
      <x:c r="AJ28" s="32" t="str"/>
    </x:row>
    <x:row r="29">
      <x:c r="A29" s="32" t="str">
        <x:v>CA-010-T1</x:v>
      </x:c>
      <x:c r="B29" s="32" t="str">
        <x:v>CA-010</x:v>
      </x:c>
      <x:c r="C29" s="32" t="str">
        <x:v>Full Harness</x:v>
      </x:c>
      <x:c r="D29" s="32" t="n">
        <x:v>1</x:v>
      </x:c>
      <x:c r="E29" s="32" t="str"/>
      <x:c r="F29" s="32" t="str"/>
      <x:c r="G29" s="32" t="str"/>
      <x:c r="H29" s="32" t="str"/>
      <x:c r="I29" s="32" t="n">
        <x:f>IFERROR(VLOOKUP(B29,'问题集'!$A$2:$K$21,9,FALSE),"")</x:f>
        <x:v>2</x:v>
      </x:c>
      <x:c r="J29" s="38" t="n">
        <x:f>IFERROR(F29/I29,"")</x:f>
        <x:v>0</x:v>
      </x:c>
      <x:c r="K29" s="38" t="n">
        <x:f>IFERROR(G29/I29,"")</x:f>
        <x:v>0</x:v>
      </x:c>
      <x:c r="L29" s="38" t="str">
        <x:f>IF(F29="","",--(F29&gt;0))</x:f>
      </x:c>
      <x:c r="M29" s="38" t="str">
        <x:f>IFERROR(1/H29,"")</x:f>
      </x:c>
      <x:c r="N29" s="32" t="n">
        <x:f>IFERROR(VLOOKUP(B29,'问题集'!$A$2:$K$21,10,FALSE),"")</x:f>
        <x:v>2</x:v>
      </x:c>
      <x:c r="O29" s="32" t="str"/>
      <x:c r="P29" s="38" t="n">
        <x:f>IFERROR(O29/N29,"")</x:f>
        <x:v>0</x:v>
      </x:c>
      <x:c r="Q29" s="32" t="str"/>
      <x:c r="R29" s="32" t="str"/>
      <x:c r="S29" s="38" t="str">
        <x:f>IFERROR(R29/Q29,"")</x:f>
      </x:c>
      <x:c r="T29" s="32" t="str"/>
      <x:c r="U29" s="32" t="str"/>
      <x:c r="V29" s="38" t="str">
        <x:f>IFERROR(U29/T29,"")</x:f>
      </x:c>
      <x:c r="W29" s="32" t="str"/>
      <x:c r="X29" s="38" t="str">
        <x:f>IFERROR(W29/Q29,"")</x:f>
      </x:c>
      <x:c r="Y29" s="32" t="str"/>
      <x:c r="Z29" s="32" t="str"/>
      <x:c r="AA29" s="32" t="str"/>
      <x:c r="AB29" s="32" t="str"/>
      <x:c r="AC29" s="32" t="str"/>
      <x:c r="AD29" s="32" t="str"/>
      <x:c r="AE29" s="32" t="str"/>
      <x:c r="AF29" s="32" t="str"/>
      <x:c r="AG29" s="32" t="str"/>
      <x:c r="AH29" s="32" t="str"/>
      <x:c r="AI29" s="32" t="str"/>
      <x:c r="AJ29" s="32" t="str"/>
    </x:row>
    <x:row r="30">
      <x:c r="A30" s="32" t="str">
        <x:v>CA-010-T2</x:v>
      </x:c>
      <x:c r="B30" s="32" t="str">
        <x:v>CA-010</x:v>
      </x:c>
      <x:c r="C30" s="32" t="str">
        <x:v>Full Harness</x:v>
      </x:c>
      <x:c r="D30" s="32" t="n">
        <x:v>2</x:v>
      </x:c>
      <x:c r="E30" s="32" t="str"/>
      <x:c r="F30" s="32" t="str"/>
      <x:c r="G30" s="32" t="str"/>
      <x:c r="H30" s="32" t="str"/>
      <x:c r="I30" s="32" t="n">
        <x:f>IFERROR(VLOOKUP(B30,'问题集'!$A$2:$K$21,9,FALSE),"")</x:f>
        <x:v>2</x:v>
      </x:c>
      <x:c r="J30" s="38" t="n">
        <x:f>IFERROR(F30/I30,"")</x:f>
        <x:v>0</x:v>
      </x:c>
      <x:c r="K30" s="38" t="n">
        <x:f>IFERROR(G30/I30,"")</x:f>
        <x:v>0</x:v>
      </x:c>
      <x:c r="L30" s="38" t="str">
        <x:f>IF(F30="","",--(F30&gt;0))</x:f>
      </x:c>
      <x:c r="M30" s="38" t="str">
        <x:f>IFERROR(1/H30,"")</x:f>
      </x:c>
      <x:c r="N30" s="32" t="n">
        <x:f>IFERROR(VLOOKUP(B30,'问题集'!$A$2:$K$21,10,FALSE),"")</x:f>
        <x:v>2</x:v>
      </x:c>
      <x:c r="O30" s="32" t="str"/>
      <x:c r="P30" s="38" t="n">
        <x:f>IFERROR(O30/N30,"")</x:f>
        <x:v>0</x:v>
      </x:c>
      <x:c r="Q30" s="32" t="str"/>
      <x:c r="R30" s="32" t="str"/>
      <x:c r="S30" s="38" t="str">
        <x:f>IFERROR(R30/Q30,"")</x:f>
      </x:c>
      <x:c r="T30" s="32" t="str"/>
      <x:c r="U30" s="32" t="str"/>
      <x:c r="V30" s="38" t="str">
        <x:f>IFERROR(U30/T30,"")</x:f>
      </x:c>
      <x:c r="W30" s="32" t="str"/>
      <x:c r="X30" s="38" t="str">
        <x:f>IFERROR(W30/Q30,"")</x:f>
      </x:c>
      <x:c r="Y30" s="32" t="str"/>
      <x:c r="Z30" s="32" t="str"/>
      <x:c r="AA30" s="32" t="str"/>
      <x:c r="AB30" s="32" t="str"/>
      <x:c r="AC30" s="32" t="str"/>
      <x:c r="AD30" s="32" t="str"/>
      <x:c r="AE30" s="32" t="str"/>
      <x:c r="AF30" s="32" t="str"/>
      <x:c r="AG30" s="32" t="str"/>
      <x:c r="AH30" s="32" t="str"/>
      <x:c r="AI30" s="32" t="str"/>
      <x:c r="AJ30" s="32" t="str"/>
    </x:row>
    <x:row r="31">
      <x:c r="A31" s="32" t="str">
        <x:v>CA-010-T3</x:v>
      </x:c>
      <x:c r="B31" s="32" t="str">
        <x:v>CA-010</x:v>
      </x:c>
      <x:c r="C31" s="32" t="str">
        <x:v>Full Harness</x:v>
      </x:c>
      <x:c r="D31" s="32" t="n">
        <x:v>3</x:v>
      </x:c>
      <x:c r="E31" s="32" t="str"/>
      <x:c r="F31" s="32" t="str"/>
      <x:c r="G31" s="32" t="str"/>
      <x:c r="H31" s="32" t="str"/>
      <x:c r="I31" s="32" t="n">
        <x:f>IFERROR(VLOOKUP(B31,'问题集'!$A$2:$K$21,9,FALSE),"")</x:f>
        <x:v>2</x:v>
      </x:c>
      <x:c r="J31" s="38" t="n">
        <x:f>IFERROR(F31/I31,"")</x:f>
        <x:v>0</x:v>
      </x:c>
      <x:c r="K31" s="38" t="n">
        <x:f>IFERROR(G31/I31,"")</x:f>
        <x:v>0</x:v>
      </x:c>
      <x:c r="L31" s="38" t="str">
        <x:f>IF(F31="","",--(F31&gt;0))</x:f>
      </x:c>
      <x:c r="M31" s="38" t="str">
        <x:f>IFERROR(1/H31,"")</x:f>
      </x:c>
      <x:c r="N31" s="32" t="n">
        <x:f>IFERROR(VLOOKUP(B31,'问题集'!$A$2:$K$21,10,FALSE),"")</x:f>
        <x:v>2</x:v>
      </x:c>
      <x:c r="O31" s="32" t="str"/>
      <x:c r="P31" s="38" t="n">
        <x:f>IFERROR(O31/N31,"")</x:f>
        <x:v>0</x:v>
      </x:c>
      <x:c r="Q31" s="32" t="str"/>
      <x:c r="R31" s="32" t="str"/>
      <x:c r="S31" s="38" t="str">
        <x:f>IFERROR(R31/Q31,"")</x:f>
      </x:c>
      <x:c r="T31" s="32" t="str"/>
      <x:c r="U31" s="32" t="str"/>
      <x:c r="V31" s="38" t="str">
        <x:f>IFERROR(U31/T31,"")</x:f>
      </x:c>
      <x:c r="W31" s="32" t="str"/>
      <x:c r="X31" s="38" t="str">
        <x:f>IFERROR(W31/Q31,"")</x:f>
      </x:c>
      <x:c r="Y31" s="32" t="str"/>
      <x:c r="Z31" s="32" t="str"/>
      <x:c r="AA31" s="32" t="str"/>
      <x:c r="AB31" s="32" t="str"/>
      <x:c r="AC31" s="32" t="str"/>
      <x:c r="AD31" s="32" t="str"/>
      <x:c r="AE31" s="32" t="str"/>
      <x:c r="AF31" s="32" t="str"/>
      <x:c r="AG31" s="32" t="str"/>
      <x:c r="AH31" s="32" t="str"/>
      <x:c r="AI31" s="32" t="str"/>
      <x:c r="AJ31" s="32" t="str"/>
    </x:row>
    <x:row r="32">
      <x:c r="A32" s="32" t="str">
        <x:v>CA-011-T1</x:v>
      </x:c>
      <x:c r="B32" s="32" t="str">
        <x:v>CA-011</x:v>
      </x:c>
      <x:c r="C32" s="32" t="str">
        <x:v>Full Harness</x:v>
      </x:c>
      <x:c r="D32" s="32" t="n">
        <x:v>1</x:v>
      </x:c>
      <x:c r="E32" s="32" t="str"/>
      <x:c r="F32" s="32" t="str"/>
      <x:c r="G32" s="32" t="str"/>
      <x:c r="H32" s="32" t="str"/>
      <x:c r="I32" s="32" t="n">
        <x:f>IFERROR(VLOOKUP(B32,'问题集'!$A$2:$K$21,9,FALSE),"")</x:f>
        <x:v>4</x:v>
      </x:c>
      <x:c r="J32" s="38" t="n">
        <x:f>IFERROR(F32/I32,"")</x:f>
        <x:v>0</x:v>
      </x:c>
      <x:c r="K32" s="38" t="n">
        <x:f>IFERROR(G32/I32,"")</x:f>
        <x:v>0</x:v>
      </x:c>
      <x:c r="L32" s="38" t="str">
        <x:f>IF(F32="","",--(F32&gt;0))</x:f>
      </x:c>
      <x:c r="M32" s="38" t="str">
        <x:f>IFERROR(1/H32,"")</x:f>
      </x:c>
      <x:c r="N32" s="32" t="n">
        <x:f>IFERROR(VLOOKUP(B32,'问题集'!$A$2:$K$21,10,FALSE),"")</x:f>
        <x:v>2</x:v>
      </x:c>
      <x:c r="O32" s="32" t="str"/>
      <x:c r="P32" s="38" t="n">
        <x:f>IFERROR(O32/N32,"")</x:f>
        <x:v>0</x:v>
      </x:c>
      <x:c r="Q32" s="32" t="str"/>
      <x:c r="R32" s="32" t="str"/>
      <x:c r="S32" s="38" t="str">
        <x:f>IFERROR(R32/Q32,"")</x:f>
      </x:c>
      <x:c r="T32" s="32" t="str"/>
      <x:c r="U32" s="32" t="str"/>
      <x:c r="V32" s="38" t="str">
        <x:f>IFERROR(U32/T32,"")</x:f>
      </x:c>
      <x:c r="W32" s="32" t="str"/>
      <x:c r="X32" s="38" t="str">
        <x:f>IFERROR(W32/Q32,"")</x:f>
      </x:c>
      <x:c r="Y32" s="32" t="str"/>
      <x:c r="Z32" s="32" t="str"/>
      <x:c r="AA32" s="32" t="str"/>
      <x:c r="AB32" s="32" t="str"/>
      <x:c r="AC32" s="32" t="str"/>
      <x:c r="AD32" s="32" t="str"/>
      <x:c r="AE32" s="32" t="str"/>
      <x:c r="AF32" s="32" t="str"/>
      <x:c r="AG32" s="32" t="str"/>
      <x:c r="AH32" s="32" t="str"/>
      <x:c r="AI32" s="32" t="str"/>
      <x:c r="AJ32" s="32" t="str"/>
    </x:row>
    <x:row r="33">
      <x:c r="A33" s="32" t="str">
        <x:v>CA-011-T2</x:v>
      </x:c>
      <x:c r="B33" s="32" t="str">
        <x:v>CA-011</x:v>
      </x:c>
      <x:c r="C33" s="32" t="str">
        <x:v>Full Harness</x:v>
      </x:c>
      <x:c r="D33" s="32" t="n">
        <x:v>2</x:v>
      </x:c>
      <x:c r="E33" s="32" t="str"/>
      <x:c r="F33" s="32" t="str"/>
      <x:c r="G33" s="32" t="str"/>
      <x:c r="H33" s="32" t="str"/>
      <x:c r="I33" s="32" t="n">
        <x:f>IFERROR(VLOOKUP(B33,'问题集'!$A$2:$K$21,9,FALSE),"")</x:f>
        <x:v>4</x:v>
      </x:c>
      <x:c r="J33" s="38" t="n">
        <x:f>IFERROR(F33/I33,"")</x:f>
        <x:v>0</x:v>
      </x:c>
      <x:c r="K33" s="38" t="n">
        <x:f>IFERROR(G33/I33,"")</x:f>
        <x:v>0</x:v>
      </x:c>
      <x:c r="L33" s="38" t="str">
        <x:f>IF(F33="","",--(F33&gt;0))</x:f>
      </x:c>
      <x:c r="M33" s="38" t="str">
        <x:f>IFERROR(1/H33,"")</x:f>
      </x:c>
      <x:c r="N33" s="32" t="n">
        <x:f>IFERROR(VLOOKUP(B33,'问题集'!$A$2:$K$21,10,FALSE),"")</x:f>
        <x:v>2</x:v>
      </x:c>
      <x:c r="O33" s="32" t="str"/>
      <x:c r="P33" s="38" t="n">
        <x:f>IFERROR(O33/N33,"")</x:f>
        <x:v>0</x:v>
      </x:c>
      <x:c r="Q33" s="32" t="str"/>
      <x:c r="R33" s="32" t="str"/>
      <x:c r="S33" s="38" t="str">
        <x:f>IFERROR(R33/Q33,"")</x:f>
      </x:c>
      <x:c r="T33" s="32" t="str"/>
      <x:c r="U33" s="32" t="str"/>
      <x:c r="V33" s="38" t="str">
        <x:f>IFERROR(U33/T33,"")</x:f>
      </x:c>
      <x:c r="W33" s="32" t="str"/>
      <x:c r="X33" s="38" t="str">
        <x:f>IFERROR(W33/Q33,"")</x:f>
      </x:c>
      <x:c r="Y33" s="32" t="str"/>
      <x:c r="Z33" s="32" t="str"/>
      <x:c r="AA33" s="32" t="str"/>
      <x:c r="AB33" s="32" t="str"/>
      <x:c r="AC33" s="32" t="str"/>
      <x:c r="AD33" s="32" t="str"/>
      <x:c r="AE33" s="32" t="str"/>
      <x:c r="AF33" s="32" t="str"/>
      <x:c r="AG33" s="32" t="str"/>
      <x:c r="AH33" s="32" t="str"/>
      <x:c r="AI33" s="32" t="str"/>
      <x:c r="AJ33" s="32" t="str"/>
    </x:row>
    <x:row r="34">
      <x:c r="A34" s="32" t="str">
        <x:v>CA-011-T3</x:v>
      </x:c>
      <x:c r="B34" s="32" t="str">
        <x:v>CA-011</x:v>
      </x:c>
      <x:c r="C34" s="32" t="str">
        <x:v>Full Harness</x:v>
      </x:c>
      <x:c r="D34" s="32" t="n">
        <x:v>3</x:v>
      </x:c>
      <x:c r="E34" s="32" t="str"/>
      <x:c r="F34" s="32" t="str"/>
      <x:c r="G34" s="32" t="str"/>
      <x:c r="H34" s="32" t="str"/>
      <x:c r="I34" s="32" t="n">
        <x:f>IFERROR(VLOOKUP(B34,'问题集'!$A$2:$K$21,9,FALSE),"")</x:f>
        <x:v>4</x:v>
      </x:c>
      <x:c r="J34" s="38" t="n">
        <x:f>IFERROR(F34/I34,"")</x:f>
        <x:v>0</x:v>
      </x:c>
      <x:c r="K34" s="38" t="n">
        <x:f>IFERROR(G34/I34,"")</x:f>
        <x:v>0</x:v>
      </x:c>
      <x:c r="L34" s="38" t="str">
        <x:f>IF(F34="","",--(F34&gt;0))</x:f>
      </x:c>
      <x:c r="M34" s="38" t="str">
        <x:f>IFERROR(1/H34,"")</x:f>
      </x:c>
      <x:c r="N34" s="32" t="n">
        <x:f>IFERROR(VLOOKUP(B34,'问题集'!$A$2:$K$21,10,FALSE),"")</x:f>
        <x:v>2</x:v>
      </x:c>
      <x:c r="O34" s="32" t="str"/>
      <x:c r="P34" s="38" t="n">
        <x:f>IFERROR(O34/N34,"")</x:f>
        <x:v>0</x:v>
      </x:c>
      <x:c r="Q34" s="32" t="str"/>
      <x:c r="R34" s="32" t="str"/>
      <x:c r="S34" s="38" t="str">
        <x:f>IFERROR(R34/Q34,"")</x:f>
      </x:c>
      <x:c r="T34" s="32" t="str"/>
      <x:c r="U34" s="32" t="str"/>
      <x:c r="V34" s="38" t="str">
        <x:f>IFERROR(U34/T34,"")</x:f>
      </x:c>
      <x:c r="W34" s="32" t="str"/>
      <x:c r="X34" s="38" t="str">
        <x:f>IFERROR(W34/Q34,"")</x:f>
      </x:c>
      <x:c r="Y34" s="32" t="str"/>
      <x:c r="Z34" s="32" t="str"/>
      <x:c r="AA34" s="32" t="str"/>
      <x:c r="AB34" s="32" t="str"/>
      <x:c r="AC34" s="32" t="str"/>
      <x:c r="AD34" s="32" t="str"/>
      <x:c r="AE34" s="32" t="str"/>
      <x:c r="AF34" s="32" t="str"/>
      <x:c r="AG34" s="32" t="str"/>
      <x:c r="AH34" s="32" t="str"/>
      <x:c r="AI34" s="32" t="str"/>
      <x:c r="AJ34" s="32" t="str"/>
    </x:row>
    <x:row r="35">
      <x:c r="A35" s="32" t="str">
        <x:v>CA-012-T1</x:v>
      </x:c>
      <x:c r="B35" s="32" t="str">
        <x:v>CA-012</x:v>
      </x:c>
      <x:c r="C35" s="32" t="str">
        <x:v>Full Harness</x:v>
      </x:c>
      <x:c r="D35" s="32" t="n">
        <x:v>1</x:v>
      </x:c>
      <x:c r="E35" s="32" t="str"/>
      <x:c r="F35" s="32" t="str"/>
      <x:c r="G35" s="32" t="str"/>
      <x:c r="H35" s="32" t="str"/>
      <x:c r="I35" s="32" t="n">
        <x:f>IFERROR(VLOOKUP(B35,'问题集'!$A$2:$K$21,9,FALSE),"")</x:f>
        <x:v>3</x:v>
      </x:c>
      <x:c r="J35" s="38" t="n">
        <x:f>IFERROR(F35/I35,"")</x:f>
        <x:v>0</x:v>
      </x:c>
      <x:c r="K35" s="38" t="n">
        <x:f>IFERROR(G35/I35,"")</x:f>
        <x:v>0</x:v>
      </x:c>
      <x:c r="L35" s="38" t="str">
        <x:f>IF(F35="","",--(F35&gt;0))</x:f>
      </x:c>
      <x:c r="M35" s="38" t="str">
        <x:f>IFERROR(1/H35,"")</x:f>
      </x:c>
      <x:c r="N35" s="32" t="n">
        <x:f>IFERROR(VLOOKUP(B35,'问题集'!$A$2:$K$21,10,FALSE),"")</x:f>
        <x:v>3</x:v>
      </x:c>
      <x:c r="O35" s="32" t="str"/>
      <x:c r="P35" s="38" t="n">
        <x:f>IFERROR(O35/N35,"")</x:f>
        <x:v>0</x:v>
      </x:c>
      <x:c r="Q35" s="32" t="str"/>
      <x:c r="R35" s="32" t="str"/>
      <x:c r="S35" s="38" t="str">
        <x:f>IFERROR(R35/Q35,"")</x:f>
      </x:c>
      <x:c r="T35" s="32" t="str"/>
      <x:c r="U35" s="32" t="str"/>
      <x:c r="V35" s="38" t="str">
        <x:f>IFERROR(U35/T35,"")</x:f>
      </x:c>
      <x:c r="W35" s="32" t="str"/>
      <x:c r="X35" s="38" t="str">
        <x:f>IFERROR(W35/Q35,"")</x:f>
      </x:c>
      <x:c r="Y35" s="32" t="str"/>
      <x:c r="Z35" s="32" t="str"/>
      <x:c r="AA35" s="32" t="str"/>
      <x:c r="AB35" s="32" t="str"/>
      <x:c r="AC35" s="32" t="str"/>
      <x:c r="AD35" s="32" t="str"/>
      <x:c r="AE35" s="32" t="str"/>
      <x:c r="AF35" s="32" t="str"/>
      <x:c r="AG35" s="32" t="str"/>
      <x:c r="AH35" s="32" t="str"/>
      <x:c r="AI35" s="32" t="str"/>
      <x:c r="AJ35" s="32" t="str"/>
    </x:row>
    <x:row r="36">
      <x:c r="A36" s="32" t="str">
        <x:v>CA-012-T2</x:v>
      </x:c>
      <x:c r="B36" s="32" t="str">
        <x:v>CA-012</x:v>
      </x:c>
      <x:c r="C36" s="32" t="str">
        <x:v>Full Harness</x:v>
      </x:c>
      <x:c r="D36" s="32" t="n">
        <x:v>2</x:v>
      </x:c>
      <x:c r="E36" s="32" t="str"/>
      <x:c r="F36" s="32" t="str"/>
      <x:c r="G36" s="32" t="str"/>
      <x:c r="H36" s="32" t="str"/>
      <x:c r="I36" s="32" t="n">
        <x:f>IFERROR(VLOOKUP(B36,'问题集'!$A$2:$K$21,9,FALSE),"")</x:f>
        <x:v>3</x:v>
      </x:c>
      <x:c r="J36" s="38" t="n">
        <x:f>IFERROR(F36/I36,"")</x:f>
        <x:v>0</x:v>
      </x:c>
      <x:c r="K36" s="38" t="n">
        <x:f>IFERROR(G36/I36,"")</x:f>
        <x:v>0</x:v>
      </x:c>
      <x:c r="L36" s="38" t="str">
        <x:f>IF(F36="","",--(F36&gt;0))</x:f>
      </x:c>
      <x:c r="M36" s="38" t="str">
        <x:f>IFERROR(1/H36,"")</x:f>
      </x:c>
      <x:c r="N36" s="32" t="n">
        <x:f>IFERROR(VLOOKUP(B36,'问题集'!$A$2:$K$21,10,FALSE),"")</x:f>
        <x:v>3</x:v>
      </x:c>
      <x:c r="O36" s="32" t="str"/>
      <x:c r="P36" s="38" t="n">
        <x:f>IFERROR(O36/N36,"")</x:f>
        <x:v>0</x:v>
      </x:c>
      <x:c r="Q36" s="32" t="str"/>
      <x:c r="R36" s="32" t="str"/>
      <x:c r="S36" s="38" t="str">
        <x:f>IFERROR(R36/Q36,"")</x:f>
      </x:c>
      <x:c r="T36" s="32" t="str"/>
      <x:c r="U36" s="32" t="str"/>
      <x:c r="V36" s="38" t="str">
        <x:f>IFERROR(U36/T36,"")</x:f>
      </x:c>
      <x:c r="W36" s="32" t="str"/>
      <x:c r="X36" s="38" t="str">
        <x:f>IFERROR(W36/Q36,"")</x:f>
      </x:c>
      <x:c r="Y36" s="32" t="str"/>
      <x:c r="Z36" s="32" t="str"/>
      <x:c r="AA36" s="32" t="str"/>
      <x:c r="AB36" s="32" t="str"/>
      <x:c r="AC36" s="32" t="str"/>
      <x:c r="AD36" s="32" t="str"/>
      <x:c r="AE36" s="32" t="str"/>
      <x:c r="AF36" s="32" t="str"/>
      <x:c r="AG36" s="32" t="str"/>
      <x:c r="AH36" s="32" t="str"/>
      <x:c r="AI36" s="32" t="str"/>
      <x:c r="AJ36" s="32" t="str"/>
    </x:row>
    <x:row r="37">
      <x:c r="A37" s="32" t="str">
        <x:v>CA-012-T3</x:v>
      </x:c>
      <x:c r="B37" s="32" t="str">
        <x:v>CA-012</x:v>
      </x:c>
      <x:c r="C37" s="32" t="str">
        <x:v>Full Harness</x:v>
      </x:c>
      <x:c r="D37" s="32" t="n">
        <x:v>3</x:v>
      </x:c>
      <x:c r="E37" s="32" t="str"/>
      <x:c r="F37" s="32" t="str"/>
      <x:c r="G37" s="32" t="str"/>
      <x:c r="H37" s="32" t="str"/>
      <x:c r="I37" s="32" t="n">
        <x:f>IFERROR(VLOOKUP(B37,'问题集'!$A$2:$K$21,9,FALSE),"")</x:f>
        <x:v>3</x:v>
      </x:c>
      <x:c r="J37" s="38" t="n">
        <x:f>IFERROR(F37/I37,"")</x:f>
        <x:v>0</x:v>
      </x:c>
      <x:c r="K37" s="38" t="n">
        <x:f>IFERROR(G37/I37,"")</x:f>
        <x:v>0</x:v>
      </x:c>
      <x:c r="L37" s="38" t="str">
        <x:f>IF(F37="","",--(F37&gt;0))</x:f>
      </x:c>
      <x:c r="M37" s="38" t="str">
        <x:f>IFERROR(1/H37,"")</x:f>
      </x:c>
      <x:c r="N37" s="32" t="n">
        <x:f>IFERROR(VLOOKUP(B37,'问题集'!$A$2:$K$21,10,FALSE),"")</x:f>
        <x:v>3</x:v>
      </x:c>
      <x:c r="O37" s="32" t="str"/>
      <x:c r="P37" s="38" t="n">
        <x:f>IFERROR(O37/N37,"")</x:f>
        <x:v>0</x:v>
      </x:c>
      <x:c r="Q37" s="32" t="str"/>
      <x:c r="R37" s="32" t="str"/>
      <x:c r="S37" s="38" t="str">
        <x:f>IFERROR(R37/Q37,"")</x:f>
      </x:c>
      <x:c r="T37" s="32" t="str"/>
      <x:c r="U37" s="32" t="str"/>
      <x:c r="V37" s="38" t="str">
        <x:f>IFERROR(U37/T37,"")</x:f>
      </x:c>
      <x:c r="W37" s="32" t="str"/>
      <x:c r="X37" s="38" t="str">
        <x:f>IFERROR(W37/Q37,"")</x:f>
      </x:c>
      <x:c r="Y37" s="32" t="str"/>
      <x:c r="Z37" s="32" t="str"/>
      <x:c r="AA37" s="32" t="str"/>
      <x:c r="AB37" s="32" t="str"/>
      <x:c r="AC37" s="32" t="str"/>
      <x:c r="AD37" s="32" t="str"/>
      <x:c r="AE37" s="32" t="str"/>
      <x:c r="AF37" s="32" t="str"/>
      <x:c r="AG37" s="32" t="str"/>
      <x:c r="AH37" s="32" t="str"/>
      <x:c r="AI37" s="32" t="str"/>
      <x:c r="AJ37" s="32" t="str"/>
    </x:row>
    <x:row r="38">
      <x:c r="A38" s="32" t="str">
        <x:v>CA-013-T1</x:v>
      </x:c>
      <x:c r="B38" s="32" t="str">
        <x:v>CA-013</x:v>
      </x:c>
      <x:c r="C38" s="32" t="str">
        <x:v>Full Harness</x:v>
      </x:c>
      <x:c r="D38" s="32" t="n">
        <x:v>1</x:v>
      </x:c>
      <x:c r="E38" s="32" t="str"/>
      <x:c r="F38" s="32" t="str"/>
      <x:c r="G38" s="32" t="str"/>
      <x:c r="H38" s="32" t="str"/>
      <x:c r="I38" s="32" t="n">
        <x:f>IFERROR(VLOOKUP(B38,'问题集'!$A$2:$K$21,9,FALSE),"")</x:f>
        <x:v>2</x:v>
      </x:c>
      <x:c r="J38" s="38" t="n">
        <x:f>IFERROR(F38/I38,"")</x:f>
        <x:v>0</x:v>
      </x:c>
      <x:c r="K38" s="38" t="n">
        <x:f>IFERROR(G38/I38,"")</x:f>
        <x:v>0</x:v>
      </x:c>
      <x:c r="L38" s="38" t="str">
        <x:f>IF(F38="","",--(F38&gt;0))</x:f>
      </x:c>
      <x:c r="M38" s="38" t="str">
        <x:f>IFERROR(1/H38,"")</x:f>
      </x:c>
      <x:c r="N38" s="32" t="n">
        <x:f>IFERROR(VLOOKUP(B38,'问题集'!$A$2:$K$21,10,FALSE),"")</x:f>
        <x:v>3</x:v>
      </x:c>
      <x:c r="O38" s="32" t="str"/>
      <x:c r="P38" s="38" t="n">
        <x:f>IFERROR(O38/N38,"")</x:f>
        <x:v>0</x:v>
      </x:c>
      <x:c r="Q38" s="32" t="str"/>
      <x:c r="R38" s="32" t="str"/>
      <x:c r="S38" s="38" t="str">
        <x:f>IFERROR(R38/Q38,"")</x:f>
      </x:c>
      <x:c r="T38" s="32" t="str"/>
      <x:c r="U38" s="32" t="str"/>
      <x:c r="V38" s="38" t="str">
        <x:f>IFERROR(U38/T38,"")</x:f>
      </x:c>
      <x:c r="W38" s="32" t="str"/>
      <x:c r="X38" s="38" t="str">
        <x:f>IFERROR(W38/Q38,"")</x:f>
      </x:c>
      <x:c r="Y38" s="32" t="str"/>
      <x:c r="Z38" s="32" t="str"/>
      <x:c r="AA38" s="32" t="str"/>
      <x:c r="AB38" s="32" t="str"/>
      <x:c r="AC38" s="32" t="str"/>
      <x:c r="AD38" s="32" t="str"/>
      <x:c r="AE38" s="32" t="str"/>
      <x:c r="AF38" s="32" t="str"/>
      <x:c r="AG38" s="32" t="str"/>
      <x:c r="AH38" s="32" t="str"/>
      <x:c r="AI38" s="32" t="str"/>
      <x:c r="AJ38" s="32" t="str"/>
    </x:row>
    <x:row r="39">
      <x:c r="A39" s="32" t="str">
        <x:v>CA-013-T2</x:v>
      </x:c>
      <x:c r="B39" s="32" t="str">
        <x:v>CA-013</x:v>
      </x:c>
      <x:c r="C39" s="32" t="str">
        <x:v>Full Harness</x:v>
      </x:c>
      <x:c r="D39" s="32" t="n">
        <x:v>2</x:v>
      </x:c>
      <x:c r="E39" s="32" t="str"/>
      <x:c r="F39" s="32" t="str"/>
      <x:c r="G39" s="32" t="str"/>
      <x:c r="H39" s="32" t="str"/>
      <x:c r="I39" s="32" t="n">
        <x:f>IFERROR(VLOOKUP(B39,'问题集'!$A$2:$K$21,9,FALSE),"")</x:f>
        <x:v>2</x:v>
      </x:c>
      <x:c r="J39" s="38" t="n">
        <x:f>IFERROR(F39/I39,"")</x:f>
        <x:v>0</x:v>
      </x:c>
      <x:c r="K39" s="38" t="n">
        <x:f>IFERROR(G39/I39,"")</x:f>
        <x:v>0</x:v>
      </x:c>
      <x:c r="L39" s="38" t="str">
        <x:f>IF(F39="","",--(F39&gt;0))</x:f>
      </x:c>
      <x:c r="M39" s="38" t="str">
        <x:f>IFERROR(1/H39,"")</x:f>
      </x:c>
      <x:c r="N39" s="32" t="n">
        <x:f>IFERROR(VLOOKUP(B39,'问题集'!$A$2:$K$21,10,FALSE),"")</x:f>
        <x:v>3</x:v>
      </x:c>
      <x:c r="O39" s="32" t="str"/>
      <x:c r="P39" s="38" t="n">
        <x:f>IFERROR(O39/N39,"")</x:f>
        <x:v>0</x:v>
      </x:c>
      <x:c r="Q39" s="32" t="str"/>
      <x:c r="R39" s="32" t="str"/>
      <x:c r="S39" s="38" t="str">
        <x:f>IFERROR(R39/Q39,"")</x:f>
      </x:c>
      <x:c r="T39" s="32" t="str"/>
      <x:c r="U39" s="32" t="str"/>
      <x:c r="V39" s="38" t="str">
        <x:f>IFERROR(U39/T39,"")</x:f>
      </x:c>
      <x:c r="W39" s="32" t="str"/>
      <x:c r="X39" s="38" t="str">
        <x:f>IFERROR(W39/Q39,"")</x:f>
      </x:c>
      <x:c r="Y39" s="32" t="str"/>
      <x:c r="Z39" s="32" t="str"/>
      <x:c r="AA39" s="32" t="str"/>
      <x:c r="AB39" s="32" t="str"/>
      <x:c r="AC39" s="32" t="str"/>
      <x:c r="AD39" s="32" t="str"/>
      <x:c r="AE39" s="32" t="str"/>
      <x:c r="AF39" s="32" t="str"/>
      <x:c r="AG39" s="32" t="str"/>
      <x:c r="AH39" s="32" t="str"/>
      <x:c r="AI39" s="32" t="str"/>
      <x:c r="AJ39" s="32" t="str"/>
    </x:row>
    <x:row r="40">
      <x:c r="A40" s="32" t="str">
        <x:v>CA-013-T3</x:v>
      </x:c>
      <x:c r="B40" s="32" t="str">
        <x:v>CA-013</x:v>
      </x:c>
      <x:c r="C40" s="32" t="str">
        <x:v>Full Harness</x:v>
      </x:c>
      <x:c r="D40" s="32" t="n">
        <x:v>3</x:v>
      </x:c>
      <x:c r="E40" s="32" t="str"/>
      <x:c r="F40" s="32" t="str"/>
      <x:c r="G40" s="32" t="str"/>
      <x:c r="H40" s="32" t="str"/>
      <x:c r="I40" s="32" t="n">
        <x:f>IFERROR(VLOOKUP(B40,'问题集'!$A$2:$K$21,9,FALSE),"")</x:f>
        <x:v>2</x:v>
      </x:c>
      <x:c r="J40" s="38" t="n">
        <x:f>IFERROR(F40/I40,"")</x:f>
        <x:v>0</x:v>
      </x:c>
      <x:c r="K40" s="38" t="n">
        <x:f>IFERROR(G40/I40,"")</x:f>
        <x:v>0</x:v>
      </x:c>
      <x:c r="L40" s="38" t="str">
        <x:f>IF(F40="","",--(F40&gt;0))</x:f>
      </x:c>
      <x:c r="M40" s="38" t="str">
        <x:f>IFERROR(1/H40,"")</x:f>
      </x:c>
      <x:c r="N40" s="32" t="n">
        <x:f>IFERROR(VLOOKUP(B40,'问题集'!$A$2:$K$21,10,FALSE),"")</x:f>
        <x:v>3</x:v>
      </x:c>
      <x:c r="O40" s="32" t="str"/>
      <x:c r="P40" s="38" t="n">
        <x:f>IFERROR(O40/N40,"")</x:f>
        <x:v>0</x:v>
      </x:c>
      <x:c r="Q40" s="32" t="str"/>
      <x:c r="R40" s="32" t="str"/>
      <x:c r="S40" s="38" t="str">
        <x:f>IFERROR(R40/Q40,"")</x:f>
      </x:c>
      <x:c r="T40" s="32" t="str"/>
      <x:c r="U40" s="32" t="str"/>
      <x:c r="V40" s="38" t="str">
        <x:f>IFERROR(U40/T40,"")</x:f>
      </x:c>
      <x:c r="W40" s="32" t="str"/>
      <x:c r="X40" s="38" t="str">
        <x:f>IFERROR(W40/Q40,"")</x:f>
      </x:c>
      <x:c r="Y40" s="32" t="str"/>
      <x:c r="Z40" s="32" t="str"/>
      <x:c r="AA40" s="32" t="str"/>
      <x:c r="AB40" s="32" t="str"/>
      <x:c r="AC40" s="32" t="str"/>
      <x:c r="AD40" s="32" t="str"/>
      <x:c r="AE40" s="32" t="str"/>
      <x:c r="AF40" s="32" t="str"/>
      <x:c r="AG40" s="32" t="str"/>
      <x:c r="AH40" s="32" t="str"/>
      <x:c r="AI40" s="32" t="str"/>
      <x:c r="AJ40" s="32" t="str"/>
    </x:row>
    <x:row r="41">
      <x:c r="A41" s="32" t="str">
        <x:v>CA-014-T1</x:v>
      </x:c>
      <x:c r="B41" s="32" t="str">
        <x:v>CA-014</x:v>
      </x:c>
      <x:c r="C41" s="32" t="str">
        <x:v>Full Harness</x:v>
      </x:c>
      <x:c r="D41" s="32" t="n">
        <x:v>1</x:v>
      </x:c>
      <x:c r="E41" s="32" t="str"/>
      <x:c r="F41" s="32" t="str"/>
      <x:c r="G41" s="32" t="str"/>
      <x:c r="H41" s="32" t="str"/>
      <x:c r="I41" s="32" t="n">
        <x:f>IFERROR(VLOOKUP(B41,'问题集'!$A$2:$K$21,9,FALSE),"")</x:f>
        <x:v>2</x:v>
      </x:c>
      <x:c r="J41" s="38" t="n">
        <x:f>IFERROR(F41/I41,"")</x:f>
        <x:v>0</x:v>
      </x:c>
      <x:c r="K41" s="38" t="n">
        <x:f>IFERROR(G41/I41,"")</x:f>
        <x:v>0</x:v>
      </x:c>
      <x:c r="L41" s="38" t="str">
        <x:f>IF(F41="","",--(F41&gt;0))</x:f>
      </x:c>
      <x:c r="M41" s="38" t="str">
        <x:f>IFERROR(1/H41,"")</x:f>
      </x:c>
      <x:c r="N41" s="32" t="n">
        <x:f>IFERROR(VLOOKUP(B41,'问题集'!$A$2:$K$21,10,FALSE),"")</x:f>
        <x:v>2</x:v>
      </x:c>
      <x:c r="O41" s="32" t="str"/>
      <x:c r="P41" s="38" t="n">
        <x:f>IFERROR(O41/N41,"")</x:f>
        <x:v>0</x:v>
      </x:c>
      <x:c r="Q41" s="32" t="str"/>
      <x:c r="R41" s="32" t="str"/>
      <x:c r="S41" s="38" t="str">
        <x:f>IFERROR(R41/Q41,"")</x:f>
      </x:c>
      <x:c r="T41" s="32" t="str"/>
      <x:c r="U41" s="32" t="str"/>
      <x:c r="V41" s="38" t="str">
        <x:f>IFERROR(U41/T41,"")</x:f>
      </x:c>
      <x:c r="W41" s="32" t="str"/>
      <x:c r="X41" s="38" t="str">
        <x:f>IFERROR(W41/Q41,"")</x:f>
      </x:c>
      <x:c r="Y41" s="32" t="str"/>
      <x:c r="Z41" s="32" t="str"/>
      <x:c r="AA41" s="32" t="str"/>
      <x:c r="AB41" s="32" t="str"/>
      <x:c r="AC41" s="32" t="str"/>
      <x:c r="AD41" s="32" t="str"/>
      <x:c r="AE41" s="32" t="str"/>
      <x:c r="AF41" s="32" t="str"/>
      <x:c r="AG41" s="32" t="str"/>
      <x:c r="AH41" s="32" t="str"/>
      <x:c r="AI41" s="32" t="str"/>
      <x:c r="AJ41" s="32" t="str"/>
    </x:row>
    <x:row r="42">
      <x:c r="A42" s="32" t="str">
        <x:v>CA-014-T2</x:v>
      </x:c>
      <x:c r="B42" s="32" t="str">
        <x:v>CA-014</x:v>
      </x:c>
      <x:c r="C42" s="32" t="str">
        <x:v>Full Harness</x:v>
      </x:c>
      <x:c r="D42" s="32" t="n">
        <x:v>2</x:v>
      </x:c>
      <x:c r="E42" s="32" t="str"/>
      <x:c r="F42" s="32" t="str"/>
      <x:c r="G42" s="32" t="str"/>
      <x:c r="H42" s="32" t="str"/>
      <x:c r="I42" s="32" t="n">
        <x:f>IFERROR(VLOOKUP(B42,'问题集'!$A$2:$K$21,9,FALSE),"")</x:f>
        <x:v>2</x:v>
      </x:c>
      <x:c r="J42" s="38" t="n">
        <x:f>IFERROR(F42/I42,"")</x:f>
        <x:v>0</x:v>
      </x:c>
      <x:c r="K42" s="38" t="n">
        <x:f>IFERROR(G42/I42,"")</x:f>
        <x:v>0</x:v>
      </x:c>
      <x:c r="L42" s="38" t="str">
        <x:f>IF(F42="","",--(F42&gt;0))</x:f>
      </x:c>
      <x:c r="M42" s="38" t="str">
        <x:f>IFERROR(1/H42,"")</x:f>
      </x:c>
      <x:c r="N42" s="32" t="n">
        <x:f>IFERROR(VLOOKUP(B42,'问题集'!$A$2:$K$21,10,FALSE),"")</x:f>
        <x:v>2</x:v>
      </x:c>
      <x:c r="O42" s="32" t="str"/>
      <x:c r="P42" s="38" t="n">
        <x:f>IFERROR(O42/N42,"")</x:f>
        <x:v>0</x:v>
      </x:c>
      <x:c r="Q42" s="32" t="str"/>
      <x:c r="R42" s="32" t="str"/>
      <x:c r="S42" s="38" t="str">
        <x:f>IFERROR(R42/Q42,"")</x:f>
      </x:c>
      <x:c r="T42" s="32" t="str"/>
      <x:c r="U42" s="32" t="str"/>
      <x:c r="V42" s="38" t="str">
        <x:f>IFERROR(U42/T42,"")</x:f>
      </x:c>
      <x:c r="W42" s="32" t="str"/>
      <x:c r="X42" s="38" t="str">
        <x:f>IFERROR(W42/Q42,"")</x:f>
      </x:c>
      <x:c r="Y42" s="32" t="str"/>
      <x:c r="Z42" s="32" t="str"/>
      <x:c r="AA42" s="32" t="str"/>
      <x:c r="AB42" s="32" t="str"/>
      <x:c r="AC42" s="32" t="str"/>
      <x:c r="AD42" s="32" t="str"/>
      <x:c r="AE42" s="32" t="str"/>
      <x:c r="AF42" s="32" t="str"/>
      <x:c r="AG42" s="32" t="str"/>
      <x:c r="AH42" s="32" t="str"/>
      <x:c r="AI42" s="32" t="str"/>
      <x:c r="AJ42" s="32" t="str"/>
    </x:row>
    <x:row r="43">
      <x:c r="A43" s="32" t="str">
        <x:v>CA-014-T3</x:v>
      </x:c>
      <x:c r="B43" s="32" t="str">
        <x:v>CA-014</x:v>
      </x:c>
      <x:c r="C43" s="32" t="str">
        <x:v>Full Harness</x:v>
      </x:c>
      <x:c r="D43" s="32" t="n">
        <x:v>3</x:v>
      </x:c>
      <x:c r="E43" s="32" t="str"/>
      <x:c r="F43" s="32" t="str"/>
      <x:c r="G43" s="32" t="str"/>
      <x:c r="H43" s="32" t="str"/>
      <x:c r="I43" s="32" t="n">
        <x:f>IFERROR(VLOOKUP(B43,'问题集'!$A$2:$K$21,9,FALSE),"")</x:f>
        <x:v>2</x:v>
      </x:c>
      <x:c r="J43" s="38" t="n">
        <x:f>IFERROR(F43/I43,"")</x:f>
        <x:v>0</x:v>
      </x:c>
      <x:c r="K43" s="38" t="n">
        <x:f>IFERROR(G43/I43,"")</x:f>
        <x:v>0</x:v>
      </x:c>
      <x:c r="L43" s="38" t="str">
        <x:f>IF(F43="","",--(F43&gt;0))</x:f>
      </x:c>
      <x:c r="M43" s="38" t="str">
        <x:f>IFERROR(1/H43,"")</x:f>
      </x:c>
      <x:c r="N43" s="32" t="n">
        <x:f>IFERROR(VLOOKUP(B43,'问题集'!$A$2:$K$21,10,FALSE),"")</x:f>
        <x:v>2</x:v>
      </x:c>
      <x:c r="O43" s="32" t="str"/>
      <x:c r="P43" s="38" t="n">
        <x:f>IFERROR(O43/N43,"")</x:f>
        <x:v>0</x:v>
      </x:c>
      <x:c r="Q43" s="32" t="str"/>
      <x:c r="R43" s="32" t="str"/>
      <x:c r="S43" s="38" t="str">
        <x:f>IFERROR(R43/Q43,"")</x:f>
      </x:c>
      <x:c r="T43" s="32" t="str"/>
      <x:c r="U43" s="32" t="str"/>
      <x:c r="V43" s="38" t="str">
        <x:f>IFERROR(U43/T43,"")</x:f>
      </x:c>
      <x:c r="W43" s="32" t="str"/>
      <x:c r="X43" s="38" t="str">
        <x:f>IFERROR(W43/Q43,"")</x:f>
      </x:c>
      <x:c r="Y43" s="32" t="str"/>
      <x:c r="Z43" s="32" t="str"/>
      <x:c r="AA43" s="32" t="str"/>
      <x:c r="AB43" s="32" t="str"/>
      <x:c r="AC43" s="32" t="str"/>
      <x:c r="AD43" s="32" t="str"/>
      <x:c r="AE43" s="32" t="str"/>
      <x:c r="AF43" s="32" t="str"/>
      <x:c r="AG43" s="32" t="str"/>
      <x:c r="AH43" s="32" t="str"/>
      <x:c r="AI43" s="32" t="str"/>
      <x:c r="AJ43" s="32" t="str"/>
    </x:row>
    <x:row r="44">
      <x:c r="A44" s="32" t="str">
        <x:v>CA-015-T1</x:v>
      </x:c>
      <x:c r="B44" s="32" t="str">
        <x:v>CA-015</x:v>
      </x:c>
      <x:c r="C44" s="32" t="str">
        <x:v>Full Harness</x:v>
      </x:c>
      <x:c r="D44" s="32" t="n">
        <x:v>1</x:v>
      </x:c>
      <x:c r="E44" s="32" t="str"/>
      <x:c r="F44" s="32" t="str"/>
      <x:c r="G44" s="32" t="str"/>
      <x:c r="H44" s="32" t="str"/>
      <x:c r="I44" s="32" t="n">
        <x:f>IFERROR(VLOOKUP(B44,'问题集'!$A$2:$K$21,9,FALSE),"")</x:f>
        <x:v>4</x:v>
      </x:c>
      <x:c r="J44" s="38" t="n">
        <x:f>IFERROR(F44/I44,"")</x:f>
        <x:v>0</x:v>
      </x:c>
      <x:c r="K44" s="38" t="n">
        <x:f>IFERROR(G44/I44,"")</x:f>
        <x:v>0</x:v>
      </x:c>
      <x:c r="L44" s="38" t="str">
        <x:f>IF(F44="","",--(F44&gt;0))</x:f>
      </x:c>
      <x:c r="M44" s="38" t="str">
        <x:f>IFERROR(1/H44,"")</x:f>
      </x:c>
      <x:c r="N44" s="32" t="n">
        <x:f>IFERROR(VLOOKUP(B44,'问题集'!$A$2:$K$21,10,FALSE),"")</x:f>
        <x:v>3</x:v>
      </x:c>
      <x:c r="O44" s="32" t="str"/>
      <x:c r="P44" s="38" t="n">
        <x:f>IFERROR(O44/N44,"")</x:f>
        <x:v>0</x:v>
      </x:c>
      <x:c r="Q44" s="32" t="str"/>
      <x:c r="R44" s="32" t="str"/>
      <x:c r="S44" s="38" t="str">
        <x:f>IFERROR(R44/Q44,"")</x:f>
      </x:c>
      <x:c r="T44" s="32" t="str"/>
      <x:c r="U44" s="32" t="str"/>
      <x:c r="V44" s="38" t="str">
        <x:f>IFERROR(U44/T44,"")</x:f>
      </x:c>
      <x:c r="W44" s="32" t="str"/>
      <x:c r="X44" s="38" t="str">
        <x:f>IFERROR(W44/Q44,"")</x:f>
      </x:c>
      <x:c r="Y44" s="32" t="str"/>
      <x:c r="Z44" s="32" t="str"/>
      <x:c r="AA44" s="32" t="str"/>
      <x:c r="AB44" s="32" t="str"/>
      <x:c r="AC44" s="32" t="str"/>
      <x:c r="AD44" s="32" t="str"/>
      <x:c r="AE44" s="32" t="str"/>
      <x:c r="AF44" s="32" t="str"/>
      <x:c r="AG44" s="32" t="str"/>
      <x:c r="AH44" s="32" t="str"/>
      <x:c r="AI44" s="32" t="str"/>
      <x:c r="AJ44" s="32" t="str"/>
    </x:row>
    <x:row r="45">
      <x:c r="A45" s="32" t="str">
        <x:v>CA-015-T2</x:v>
      </x:c>
      <x:c r="B45" s="32" t="str">
        <x:v>CA-015</x:v>
      </x:c>
      <x:c r="C45" s="32" t="str">
        <x:v>Full Harness</x:v>
      </x:c>
      <x:c r="D45" s="32" t="n">
        <x:v>2</x:v>
      </x:c>
      <x:c r="E45" s="32" t="str"/>
      <x:c r="F45" s="32" t="str"/>
      <x:c r="G45" s="32" t="str"/>
      <x:c r="H45" s="32" t="str"/>
      <x:c r="I45" s="32" t="n">
        <x:f>IFERROR(VLOOKUP(B45,'问题集'!$A$2:$K$21,9,FALSE),"")</x:f>
        <x:v>4</x:v>
      </x:c>
      <x:c r="J45" s="38" t="n">
        <x:f>IFERROR(F45/I45,"")</x:f>
        <x:v>0</x:v>
      </x:c>
      <x:c r="K45" s="38" t="n">
        <x:f>IFERROR(G45/I45,"")</x:f>
        <x:v>0</x:v>
      </x:c>
      <x:c r="L45" s="38" t="str">
        <x:f>IF(F45="","",--(F45&gt;0))</x:f>
      </x:c>
      <x:c r="M45" s="38" t="str">
        <x:f>IFERROR(1/H45,"")</x:f>
      </x:c>
      <x:c r="N45" s="32" t="n">
        <x:f>IFERROR(VLOOKUP(B45,'问题集'!$A$2:$K$21,10,FALSE),"")</x:f>
        <x:v>3</x:v>
      </x:c>
      <x:c r="O45" s="32" t="str"/>
      <x:c r="P45" s="38" t="n">
        <x:f>IFERROR(O45/N45,"")</x:f>
        <x:v>0</x:v>
      </x:c>
      <x:c r="Q45" s="32" t="str"/>
      <x:c r="R45" s="32" t="str"/>
      <x:c r="S45" s="38" t="str">
        <x:f>IFERROR(R45/Q45,"")</x:f>
      </x:c>
      <x:c r="T45" s="32" t="str"/>
      <x:c r="U45" s="32" t="str"/>
      <x:c r="V45" s="38" t="str">
        <x:f>IFERROR(U45/T45,"")</x:f>
      </x:c>
      <x:c r="W45" s="32" t="str"/>
      <x:c r="X45" s="38" t="str">
        <x:f>IFERROR(W45/Q45,"")</x:f>
      </x:c>
      <x:c r="Y45" s="32" t="str"/>
      <x:c r="Z45" s="32" t="str"/>
      <x:c r="AA45" s="32" t="str"/>
      <x:c r="AB45" s="32" t="str"/>
      <x:c r="AC45" s="32" t="str"/>
      <x:c r="AD45" s="32" t="str"/>
      <x:c r="AE45" s="32" t="str"/>
      <x:c r="AF45" s="32" t="str"/>
      <x:c r="AG45" s="32" t="str"/>
      <x:c r="AH45" s="32" t="str"/>
      <x:c r="AI45" s="32" t="str"/>
      <x:c r="AJ45" s="32" t="str"/>
    </x:row>
    <x:row r="46">
      <x:c r="A46" s="32" t="str">
        <x:v>CA-015-T3</x:v>
      </x:c>
      <x:c r="B46" s="32" t="str">
        <x:v>CA-015</x:v>
      </x:c>
      <x:c r="C46" s="32" t="str">
        <x:v>Full Harness</x:v>
      </x:c>
      <x:c r="D46" s="32" t="n">
        <x:v>3</x:v>
      </x:c>
      <x:c r="E46" s="32" t="str"/>
      <x:c r="F46" s="32" t="str"/>
      <x:c r="G46" s="32" t="str"/>
      <x:c r="H46" s="32" t="str"/>
      <x:c r="I46" s="32" t="n">
        <x:f>IFERROR(VLOOKUP(B46,'问题集'!$A$2:$K$21,9,FALSE),"")</x:f>
        <x:v>4</x:v>
      </x:c>
      <x:c r="J46" s="38" t="n">
        <x:f>IFERROR(F46/I46,"")</x:f>
        <x:v>0</x:v>
      </x:c>
      <x:c r="K46" s="38" t="n">
        <x:f>IFERROR(G46/I46,"")</x:f>
        <x:v>0</x:v>
      </x:c>
      <x:c r="L46" s="38" t="str">
        <x:f>IF(F46="","",--(F46&gt;0))</x:f>
      </x:c>
      <x:c r="M46" s="38" t="str">
        <x:f>IFERROR(1/H46,"")</x:f>
      </x:c>
      <x:c r="N46" s="32" t="n">
        <x:f>IFERROR(VLOOKUP(B46,'问题集'!$A$2:$K$21,10,FALSE),"")</x:f>
        <x:v>3</x:v>
      </x:c>
      <x:c r="O46" s="32" t="str"/>
      <x:c r="P46" s="38" t="n">
        <x:f>IFERROR(O46/N46,"")</x:f>
        <x:v>0</x:v>
      </x:c>
      <x:c r="Q46" s="32" t="str"/>
      <x:c r="R46" s="32" t="str"/>
      <x:c r="S46" s="38" t="str">
        <x:f>IFERROR(R46/Q46,"")</x:f>
      </x:c>
      <x:c r="T46" s="32" t="str"/>
      <x:c r="U46" s="32" t="str"/>
      <x:c r="V46" s="38" t="str">
        <x:f>IFERROR(U46/T46,"")</x:f>
      </x:c>
      <x:c r="W46" s="32" t="str"/>
      <x:c r="X46" s="38" t="str">
        <x:f>IFERROR(W46/Q46,"")</x:f>
      </x:c>
      <x:c r="Y46" s="32" t="str"/>
      <x:c r="Z46" s="32" t="str"/>
      <x:c r="AA46" s="32" t="str"/>
      <x:c r="AB46" s="32" t="str"/>
      <x:c r="AC46" s="32" t="str"/>
      <x:c r="AD46" s="32" t="str"/>
      <x:c r="AE46" s="32" t="str"/>
      <x:c r="AF46" s="32" t="str"/>
      <x:c r="AG46" s="32" t="str"/>
      <x:c r="AH46" s="32" t="str"/>
      <x:c r="AI46" s="32" t="str"/>
      <x:c r="AJ46" s="32" t="str"/>
    </x:row>
    <x:row r="47">
      <x:c r="A47" s="32" t="str">
        <x:v>CA-016-T1</x:v>
      </x:c>
      <x:c r="B47" s="32" t="str">
        <x:v>CA-016</x:v>
      </x:c>
      <x:c r="C47" s="32" t="str">
        <x:v>Full Harness</x:v>
      </x:c>
      <x:c r="D47" s="32" t="n">
        <x:v>1</x:v>
      </x:c>
      <x:c r="E47" s="32" t="str"/>
      <x:c r="F47" s="32" t="str"/>
      <x:c r="G47" s="32" t="str"/>
      <x:c r="H47" s="32" t="str"/>
      <x:c r="I47" s="32" t="n">
        <x:f>IFERROR(VLOOKUP(B47,'问题集'!$A$2:$K$21,9,FALSE),"")</x:f>
        <x:v>5</x:v>
      </x:c>
      <x:c r="J47" s="38" t="n">
        <x:f>IFERROR(F47/I47,"")</x:f>
        <x:v>0</x:v>
      </x:c>
      <x:c r="K47" s="38" t="n">
        <x:f>IFERROR(G47/I47,"")</x:f>
        <x:v>0</x:v>
      </x:c>
      <x:c r="L47" s="38" t="str">
        <x:f>IF(F47="","",--(F47&gt;0))</x:f>
      </x:c>
      <x:c r="M47" s="38" t="str">
        <x:f>IFERROR(1/H47,"")</x:f>
      </x:c>
      <x:c r="N47" s="32" t="n">
        <x:f>IFERROR(VLOOKUP(B47,'问题集'!$A$2:$K$21,10,FALSE),"")</x:f>
        <x:v>4</x:v>
      </x:c>
      <x:c r="O47" s="32" t="str"/>
      <x:c r="P47" s="38" t="n">
        <x:f>IFERROR(O47/N47,"")</x:f>
        <x:v>0</x:v>
      </x:c>
      <x:c r="Q47" s="32" t="str"/>
      <x:c r="R47" s="32" t="str"/>
      <x:c r="S47" s="38" t="str">
        <x:f>IFERROR(R47/Q47,"")</x:f>
      </x:c>
      <x:c r="T47" s="32" t="str"/>
      <x:c r="U47" s="32" t="str"/>
      <x:c r="V47" s="38" t="str">
        <x:f>IFERROR(U47/T47,"")</x:f>
      </x:c>
      <x:c r="W47" s="32" t="str"/>
      <x:c r="X47" s="38" t="str">
        <x:f>IFERROR(W47/Q47,"")</x:f>
      </x:c>
      <x:c r="Y47" s="32" t="str"/>
      <x:c r="Z47" s="32" t="str"/>
      <x:c r="AA47" s="32" t="str"/>
      <x:c r="AB47" s="32" t="str"/>
      <x:c r="AC47" s="32" t="str"/>
      <x:c r="AD47" s="32" t="str"/>
      <x:c r="AE47" s="32" t="str"/>
      <x:c r="AF47" s="32" t="str"/>
      <x:c r="AG47" s="32" t="str"/>
      <x:c r="AH47" s="32" t="str"/>
      <x:c r="AI47" s="32" t="str"/>
      <x:c r="AJ47" s="32" t="str"/>
    </x:row>
    <x:row r="48">
      <x:c r="A48" s="32" t="str">
        <x:v>CA-016-T2</x:v>
      </x:c>
      <x:c r="B48" s="32" t="str">
        <x:v>CA-016</x:v>
      </x:c>
      <x:c r="C48" s="32" t="str">
        <x:v>Full Harness</x:v>
      </x:c>
      <x:c r="D48" s="32" t="n">
        <x:v>2</x:v>
      </x:c>
      <x:c r="E48" s="32" t="str"/>
      <x:c r="F48" s="32" t="str"/>
      <x:c r="G48" s="32" t="str"/>
      <x:c r="H48" s="32" t="str"/>
      <x:c r="I48" s="32" t="n">
        <x:f>IFERROR(VLOOKUP(B48,'问题集'!$A$2:$K$21,9,FALSE),"")</x:f>
        <x:v>5</x:v>
      </x:c>
      <x:c r="J48" s="38" t="n">
        <x:f>IFERROR(F48/I48,"")</x:f>
        <x:v>0</x:v>
      </x:c>
      <x:c r="K48" s="38" t="n">
        <x:f>IFERROR(G48/I48,"")</x:f>
        <x:v>0</x:v>
      </x:c>
      <x:c r="L48" s="38" t="str">
        <x:f>IF(F48="","",--(F48&gt;0))</x:f>
      </x:c>
      <x:c r="M48" s="38" t="str">
        <x:f>IFERROR(1/H48,"")</x:f>
      </x:c>
      <x:c r="N48" s="32" t="n">
        <x:f>IFERROR(VLOOKUP(B48,'问题集'!$A$2:$K$21,10,FALSE),"")</x:f>
        <x:v>4</x:v>
      </x:c>
      <x:c r="O48" s="32" t="str"/>
      <x:c r="P48" s="38" t="n">
        <x:f>IFERROR(O48/N48,"")</x:f>
        <x:v>0</x:v>
      </x:c>
      <x:c r="Q48" s="32" t="str"/>
      <x:c r="R48" s="32" t="str"/>
      <x:c r="S48" s="38" t="str">
        <x:f>IFERROR(R48/Q48,"")</x:f>
      </x:c>
      <x:c r="T48" s="32" t="str"/>
      <x:c r="U48" s="32" t="str"/>
      <x:c r="V48" s="38" t="str">
        <x:f>IFERROR(U48/T48,"")</x:f>
      </x:c>
      <x:c r="W48" s="32" t="str"/>
      <x:c r="X48" s="38" t="str">
        <x:f>IFERROR(W48/Q48,"")</x:f>
      </x:c>
      <x:c r="Y48" s="32" t="str"/>
      <x:c r="Z48" s="32" t="str"/>
      <x:c r="AA48" s="32" t="str"/>
      <x:c r="AB48" s="32" t="str"/>
      <x:c r="AC48" s="32" t="str"/>
      <x:c r="AD48" s="32" t="str"/>
      <x:c r="AE48" s="32" t="str"/>
      <x:c r="AF48" s="32" t="str"/>
      <x:c r="AG48" s="32" t="str"/>
      <x:c r="AH48" s="32" t="str"/>
      <x:c r="AI48" s="32" t="str"/>
      <x:c r="AJ48" s="32" t="str"/>
    </x:row>
    <x:row r="49">
      <x:c r="A49" s="32" t="str">
        <x:v>CA-016-T3</x:v>
      </x:c>
      <x:c r="B49" s="32" t="str">
        <x:v>CA-016</x:v>
      </x:c>
      <x:c r="C49" s="32" t="str">
        <x:v>Full Harness</x:v>
      </x:c>
      <x:c r="D49" s="32" t="n">
        <x:v>3</x:v>
      </x:c>
      <x:c r="E49" s="32" t="str"/>
      <x:c r="F49" s="32" t="str"/>
      <x:c r="G49" s="32" t="str"/>
      <x:c r="H49" s="32" t="str"/>
      <x:c r="I49" s="32" t="n">
        <x:f>IFERROR(VLOOKUP(B49,'问题集'!$A$2:$K$21,9,FALSE),"")</x:f>
        <x:v>5</x:v>
      </x:c>
      <x:c r="J49" s="38" t="n">
        <x:f>IFERROR(F49/I49,"")</x:f>
        <x:v>0</x:v>
      </x:c>
      <x:c r="K49" s="38" t="n">
        <x:f>IFERROR(G49/I49,"")</x:f>
        <x:v>0</x:v>
      </x:c>
      <x:c r="L49" s="38" t="str">
        <x:f>IF(F49="","",--(F49&gt;0))</x:f>
      </x:c>
      <x:c r="M49" s="38" t="str">
        <x:f>IFERROR(1/H49,"")</x:f>
      </x:c>
      <x:c r="N49" s="32" t="n">
        <x:f>IFERROR(VLOOKUP(B49,'问题集'!$A$2:$K$21,10,FALSE),"")</x:f>
        <x:v>4</x:v>
      </x:c>
      <x:c r="O49" s="32" t="str"/>
      <x:c r="P49" s="38" t="n">
        <x:f>IFERROR(O49/N49,"")</x:f>
        <x:v>0</x:v>
      </x:c>
      <x:c r="Q49" s="32" t="str"/>
      <x:c r="R49" s="32" t="str"/>
      <x:c r="S49" s="38" t="str">
        <x:f>IFERROR(R49/Q49,"")</x:f>
      </x:c>
      <x:c r="T49" s="32" t="str"/>
      <x:c r="U49" s="32" t="str"/>
      <x:c r="V49" s="38" t="str">
        <x:f>IFERROR(U49/T49,"")</x:f>
      </x:c>
      <x:c r="W49" s="32" t="str"/>
      <x:c r="X49" s="38" t="str">
        <x:f>IFERROR(W49/Q49,"")</x:f>
      </x:c>
      <x:c r="Y49" s="32" t="str"/>
      <x:c r="Z49" s="32" t="str"/>
      <x:c r="AA49" s="32" t="str"/>
      <x:c r="AB49" s="32" t="str"/>
      <x:c r="AC49" s="32" t="str"/>
      <x:c r="AD49" s="32" t="str"/>
      <x:c r="AE49" s="32" t="str"/>
      <x:c r="AF49" s="32" t="str"/>
      <x:c r="AG49" s="32" t="str"/>
      <x:c r="AH49" s="32" t="str"/>
      <x:c r="AI49" s="32" t="str"/>
      <x:c r="AJ49" s="32" t="str"/>
    </x:row>
    <x:row r="50">
      <x:c r="A50" s="32" t="str">
        <x:v>CA-017-T1</x:v>
      </x:c>
      <x:c r="B50" s="32" t="str">
        <x:v>CA-017</x:v>
      </x:c>
      <x:c r="C50" s="32" t="str">
        <x:v>Full Harness</x:v>
      </x:c>
      <x:c r="D50" s="32" t="n">
        <x:v>1</x:v>
      </x:c>
      <x:c r="E50" s="32" t="str"/>
      <x:c r="F50" s="32" t="str"/>
      <x:c r="G50" s="32" t="str"/>
      <x:c r="H50" s="32" t="str"/>
      <x:c r="I50" s="32" t="n">
        <x:f>IFERROR(VLOOKUP(B50,'问题集'!$A$2:$K$21,9,FALSE),"")</x:f>
        <x:v>0</x:v>
      </x:c>
      <x:c r="J50" s="38" t="str">
        <x:f>IFERROR(F50/I50,"")</x:f>
      </x:c>
      <x:c r="K50" s="38" t="str">
        <x:f>IFERROR(G50/I50,"")</x:f>
      </x:c>
      <x:c r="L50" s="38" t="str">
        <x:f>IF(F50="","",--(F50&gt;0))</x:f>
      </x:c>
      <x:c r="M50" s="38" t="str">
        <x:f>IFERROR(1/H50,"")</x:f>
      </x:c>
      <x:c r="N50" s="32" t="n">
        <x:f>IFERROR(VLOOKUP(B50,'问题集'!$A$2:$K$21,10,FALSE),"")</x:f>
        <x:v>1</x:v>
      </x:c>
      <x:c r="O50" s="32" t="str"/>
      <x:c r="P50" s="38" t="n">
        <x:f>IFERROR(O50/N50,"")</x:f>
        <x:v>0</x:v>
      </x:c>
      <x:c r="Q50" s="32" t="str"/>
      <x:c r="R50" s="32" t="str"/>
      <x:c r="S50" s="38" t="str">
        <x:f>IFERROR(R50/Q50,"")</x:f>
      </x:c>
      <x:c r="T50" s="32" t="str"/>
      <x:c r="U50" s="32" t="str"/>
      <x:c r="V50" s="38" t="str">
        <x:f>IFERROR(U50/T50,"")</x:f>
      </x:c>
      <x:c r="W50" s="32" t="str"/>
      <x:c r="X50" s="38" t="str">
        <x:f>IFERROR(W50/Q50,"")</x:f>
      </x:c>
      <x:c r="Y50" s="32" t="str"/>
      <x:c r="Z50" s="32" t="str"/>
      <x:c r="AA50" s="32" t="str"/>
      <x:c r="AB50" s="32" t="str"/>
      <x:c r="AC50" s="32" t="str"/>
      <x:c r="AD50" s="32" t="str"/>
      <x:c r="AE50" s="32" t="str"/>
      <x:c r="AF50" s="32" t="str"/>
      <x:c r="AG50" s="32" t="str"/>
      <x:c r="AH50" s="32" t="str"/>
      <x:c r="AI50" s="32" t="str"/>
      <x:c r="AJ50" s="32" t="str"/>
    </x:row>
    <x:row r="51">
      <x:c r="A51" s="32" t="str">
        <x:v>CA-017-T2</x:v>
      </x:c>
      <x:c r="B51" s="32" t="str">
        <x:v>CA-017</x:v>
      </x:c>
      <x:c r="C51" s="32" t="str">
        <x:v>Full Harness</x:v>
      </x:c>
      <x:c r="D51" s="32" t="n">
        <x:v>2</x:v>
      </x:c>
      <x:c r="E51" s="32" t="str"/>
      <x:c r="F51" s="32" t="str"/>
      <x:c r="G51" s="32" t="str"/>
      <x:c r="H51" s="32" t="str"/>
      <x:c r="I51" s="32" t="n">
        <x:f>IFERROR(VLOOKUP(B51,'问题集'!$A$2:$K$21,9,FALSE),"")</x:f>
        <x:v>0</x:v>
      </x:c>
      <x:c r="J51" s="38" t="str">
        <x:f>IFERROR(F51/I51,"")</x:f>
      </x:c>
      <x:c r="K51" s="38" t="str">
        <x:f>IFERROR(G51/I51,"")</x:f>
      </x:c>
      <x:c r="L51" s="38" t="str">
        <x:f>IF(F51="","",--(F51&gt;0))</x:f>
      </x:c>
      <x:c r="M51" s="38" t="str">
        <x:f>IFERROR(1/H51,"")</x:f>
      </x:c>
      <x:c r="N51" s="32" t="n">
        <x:f>IFERROR(VLOOKUP(B51,'问题集'!$A$2:$K$21,10,FALSE),"")</x:f>
        <x:v>1</x:v>
      </x:c>
      <x:c r="O51" s="32" t="str"/>
      <x:c r="P51" s="38" t="n">
        <x:f>IFERROR(O51/N51,"")</x:f>
        <x:v>0</x:v>
      </x:c>
      <x:c r="Q51" s="32" t="str"/>
      <x:c r="R51" s="32" t="str"/>
      <x:c r="S51" s="38" t="str">
        <x:f>IFERROR(R51/Q51,"")</x:f>
      </x:c>
      <x:c r="T51" s="32" t="str"/>
      <x:c r="U51" s="32" t="str"/>
      <x:c r="V51" s="38" t="str">
        <x:f>IFERROR(U51/T51,"")</x:f>
      </x:c>
      <x:c r="W51" s="32" t="str"/>
      <x:c r="X51" s="38" t="str">
        <x:f>IFERROR(W51/Q51,"")</x:f>
      </x:c>
      <x:c r="Y51" s="32" t="str"/>
      <x:c r="Z51" s="32" t="str"/>
      <x:c r="AA51" s="32" t="str"/>
      <x:c r="AB51" s="32" t="str"/>
      <x:c r="AC51" s="32" t="str"/>
      <x:c r="AD51" s="32" t="str"/>
      <x:c r="AE51" s="32" t="str"/>
      <x:c r="AF51" s="32" t="str"/>
      <x:c r="AG51" s="32" t="str"/>
      <x:c r="AH51" s="32" t="str"/>
      <x:c r="AI51" s="32" t="str"/>
      <x:c r="AJ51" s="32" t="str"/>
    </x:row>
    <x:row r="52">
      <x:c r="A52" s="32" t="str">
        <x:v>CA-017-T3</x:v>
      </x:c>
      <x:c r="B52" s="32" t="str">
        <x:v>CA-017</x:v>
      </x:c>
      <x:c r="C52" s="32" t="str">
        <x:v>Full Harness</x:v>
      </x:c>
      <x:c r="D52" s="32" t="n">
        <x:v>3</x:v>
      </x:c>
      <x:c r="E52" s="32" t="str"/>
      <x:c r="F52" s="32" t="str"/>
      <x:c r="G52" s="32" t="str"/>
      <x:c r="H52" s="32" t="str"/>
      <x:c r="I52" s="32" t="n">
        <x:f>IFERROR(VLOOKUP(B52,'问题集'!$A$2:$K$21,9,FALSE),"")</x:f>
        <x:v>0</x:v>
      </x:c>
      <x:c r="J52" s="38" t="str">
        <x:f>IFERROR(F52/I52,"")</x:f>
      </x:c>
      <x:c r="K52" s="38" t="str">
        <x:f>IFERROR(G52/I52,"")</x:f>
      </x:c>
      <x:c r="L52" s="38" t="str">
        <x:f>IF(F52="","",--(F52&gt;0))</x:f>
      </x:c>
      <x:c r="M52" s="38" t="str">
        <x:f>IFERROR(1/H52,"")</x:f>
      </x:c>
      <x:c r="N52" s="32" t="n">
        <x:f>IFERROR(VLOOKUP(B52,'问题集'!$A$2:$K$21,10,FALSE),"")</x:f>
        <x:v>1</x:v>
      </x:c>
      <x:c r="O52" s="32" t="str"/>
      <x:c r="P52" s="38" t="n">
        <x:f>IFERROR(O52/N52,"")</x:f>
        <x:v>0</x:v>
      </x:c>
      <x:c r="Q52" s="32" t="str"/>
      <x:c r="R52" s="32" t="str"/>
      <x:c r="S52" s="38" t="str">
        <x:f>IFERROR(R52/Q52,"")</x:f>
      </x:c>
      <x:c r="T52" s="32" t="str"/>
      <x:c r="U52" s="32" t="str"/>
      <x:c r="V52" s="38" t="str">
        <x:f>IFERROR(U52/T52,"")</x:f>
      </x:c>
      <x:c r="W52" s="32" t="str"/>
      <x:c r="X52" s="38" t="str">
        <x:f>IFERROR(W52/Q52,"")</x:f>
      </x:c>
      <x:c r="Y52" s="32" t="str"/>
      <x:c r="Z52" s="32" t="str"/>
      <x:c r="AA52" s="32" t="str"/>
      <x:c r="AB52" s="32" t="str"/>
      <x:c r="AC52" s="32" t="str"/>
      <x:c r="AD52" s="32" t="str"/>
      <x:c r="AE52" s="32" t="str"/>
      <x:c r="AF52" s="32" t="str"/>
      <x:c r="AG52" s="32" t="str"/>
      <x:c r="AH52" s="32" t="str"/>
      <x:c r="AI52" s="32" t="str"/>
      <x:c r="AJ52" s="32" t="str"/>
    </x:row>
    <x:row r="53">
      <x:c r="A53" s="32" t="str">
        <x:v>CA-018-T1</x:v>
      </x:c>
      <x:c r="B53" s="32" t="str">
        <x:v>CA-018</x:v>
      </x:c>
      <x:c r="C53" s="32" t="str">
        <x:v>Full Harness</x:v>
      </x:c>
      <x:c r="D53" s="32" t="n">
        <x:v>1</x:v>
      </x:c>
      <x:c r="E53" s="32" t="str"/>
      <x:c r="F53" s="32" t="str"/>
      <x:c r="G53" s="32" t="str"/>
      <x:c r="H53" s="32" t="str"/>
      <x:c r="I53" s="32" t="n">
        <x:f>IFERROR(VLOOKUP(B53,'问题集'!$A$2:$K$21,9,FALSE),"")</x:f>
        <x:v>0</x:v>
      </x:c>
      <x:c r="J53" s="38" t="str">
        <x:f>IFERROR(F53/I53,"")</x:f>
      </x:c>
      <x:c r="K53" s="38" t="str">
        <x:f>IFERROR(G53/I53,"")</x:f>
      </x:c>
      <x:c r="L53" s="38" t="str">
        <x:f>IF(F53="","",--(F53&gt;0))</x:f>
      </x:c>
      <x:c r="M53" s="38" t="str">
        <x:f>IFERROR(1/H53,"")</x:f>
      </x:c>
      <x:c r="N53" s="32" t="n">
        <x:f>IFERROR(VLOOKUP(B53,'问题集'!$A$2:$K$21,10,FALSE),"")</x:f>
        <x:v>1</x:v>
      </x:c>
      <x:c r="O53" s="32" t="str"/>
      <x:c r="P53" s="38" t="n">
        <x:f>IFERROR(O53/N53,"")</x:f>
        <x:v>0</x:v>
      </x:c>
      <x:c r="Q53" s="32" t="str"/>
      <x:c r="R53" s="32" t="str"/>
      <x:c r="S53" s="38" t="str">
        <x:f>IFERROR(R53/Q53,"")</x:f>
      </x:c>
      <x:c r="T53" s="32" t="str"/>
      <x:c r="U53" s="32" t="str"/>
      <x:c r="V53" s="38" t="str">
        <x:f>IFERROR(U53/T53,"")</x:f>
      </x:c>
      <x:c r="W53" s="32" t="str"/>
      <x:c r="X53" s="38" t="str">
        <x:f>IFERROR(W53/Q53,"")</x:f>
      </x:c>
      <x:c r="Y53" s="32" t="str"/>
      <x:c r="Z53" s="32" t="str"/>
      <x:c r="AA53" s="32" t="str"/>
      <x:c r="AB53" s="32" t="str"/>
      <x:c r="AC53" s="32" t="str"/>
      <x:c r="AD53" s="32" t="str"/>
      <x:c r="AE53" s="32" t="str"/>
      <x:c r="AF53" s="32" t="str"/>
      <x:c r="AG53" s="32" t="str"/>
      <x:c r="AH53" s="32" t="str"/>
      <x:c r="AI53" s="32" t="str"/>
      <x:c r="AJ53" s="32" t="str"/>
    </x:row>
    <x:row r="54">
      <x:c r="A54" s="32" t="str">
        <x:v>CA-018-T2</x:v>
      </x:c>
      <x:c r="B54" s="32" t="str">
        <x:v>CA-018</x:v>
      </x:c>
      <x:c r="C54" s="32" t="str">
        <x:v>Full Harness</x:v>
      </x:c>
      <x:c r="D54" s="32" t="n">
        <x:v>2</x:v>
      </x:c>
      <x:c r="E54" s="32" t="str"/>
      <x:c r="F54" s="32" t="str"/>
      <x:c r="G54" s="32" t="str"/>
      <x:c r="H54" s="32" t="str"/>
      <x:c r="I54" s="32" t="n">
        <x:f>IFERROR(VLOOKUP(B54,'问题集'!$A$2:$K$21,9,FALSE),"")</x:f>
        <x:v>0</x:v>
      </x:c>
      <x:c r="J54" s="38" t="str">
        <x:f>IFERROR(F54/I54,"")</x:f>
      </x:c>
      <x:c r="K54" s="38" t="str">
        <x:f>IFERROR(G54/I54,"")</x:f>
      </x:c>
      <x:c r="L54" s="38" t="str">
        <x:f>IF(F54="","",--(F54&gt;0))</x:f>
      </x:c>
      <x:c r="M54" s="38" t="str">
        <x:f>IFERROR(1/H54,"")</x:f>
      </x:c>
      <x:c r="N54" s="32" t="n">
        <x:f>IFERROR(VLOOKUP(B54,'问题集'!$A$2:$K$21,10,FALSE),"")</x:f>
        <x:v>1</x:v>
      </x:c>
      <x:c r="O54" s="32" t="str"/>
      <x:c r="P54" s="38" t="n">
        <x:f>IFERROR(O54/N54,"")</x:f>
        <x:v>0</x:v>
      </x:c>
      <x:c r="Q54" s="32" t="str"/>
      <x:c r="R54" s="32" t="str"/>
      <x:c r="S54" s="38" t="str">
        <x:f>IFERROR(R54/Q54,"")</x:f>
      </x:c>
      <x:c r="T54" s="32" t="str"/>
      <x:c r="U54" s="32" t="str"/>
      <x:c r="V54" s="38" t="str">
        <x:f>IFERROR(U54/T54,"")</x:f>
      </x:c>
      <x:c r="W54" s="32" t="str"/>
      <x:c r="X54" s="38" t="str">
        <x:f>IFERROR(W54/Q54,"")</x:f>
      </x:c>
      <x:c r="Y54" s="32" t="str"/>
      <x:c r="Z54" s="32" t="str"/>
      <x:c r="AA54" s="32" t="str"/>
      <x:c r="AB54" s="32" t="str"/>
      <x:c r="AC54" s="32" t="str"/>
      <x:c r="AD54" s="32" t="str"/>
      <x:c r="AE54" s="32" t="str"/>
      <x:c r="AF54" s="32" t="str"/>
      <x:c r="AG54" s="32" t="str"/>
      <x:c r="AH54" s="32" t="str"/>
      <x:c r="AI54" s="32" t="str"/>
      <x:c r="AJ54" s="32" t="str"/>
    </x:row>
    <x:row r="55">
      <x:c r="A55" s="32" t="str">
        <x:v>CA-018-T3</x:v>
      </x:c>
      <x:c r="B55" s="32" t="str">
        <x:v>CA-018</x:v>
      </x:c>
      <x:c r="C55" s="32" t="str">
        <x:v>Full Harness</x:v>
      </x:c>
      <x:c r="D55" s="32" t="n">
        <x:v>3</x:v>
      </x:c>
      <x:c r="E55" s="32" t="str"/>
      <x:c r="F55" s="32" t="str"/>
      <x:c r="G55" s="32" t="str"/>
      <x:c r="H55" s="32" t="str"/>
      <x:c r="I55" s="32" t="n">
        <x:f>IFERROR(VLOOKUP(B55,'问题集'!$A$2:$K$21,9,FALSE),"")</x:f>
        <x:v>0</x:v>
      </x:c>
      <x:c r="J55" s="38" t="str">
        <x:f>IFERROR(F55/I55,"")</x:f>
      </x:c>
      <x:c r="K55" s="38" t="str">
        <x:f>IFERROR(G55/I55,"")</x:f>
      </x:c>
      <x:c r="L55" s="38" t="str">
        <x:f>IF(F55="","",--(F55&gt;0))</x:f>
      </x:c>
      <x:c r="M55" s="38" t="str">
        <x:f>IFERROR(1/H55,"")</x:f>
      </x:c>
      <x:c r="N55" s="32" t="n">
        <x:f>IFERROR(VLOOKUP(B55,'问题集'!$A$2:$K$21,10,FALSE),"")</x:f>
        <x:v>1</x:v>
      </x:c>
      <x:c r="O55" s="32" t="str"/>
      <x:c r="P55" s="38" t="n">
        <x:f>IFERROR(O55/N55,"")</x:f>
        <x:v>0</x:v>
      </x:c>
      <x:c r="Q55" s="32" t="str"/>
      <x:c r="R55" s="32" t="str"/>
      <x:c r="S55" s="38" t="str">
        <x:f>IFERROR(R55/Q55,"")</x:f>
      </x:c>
      <x:c r="T55" s="32" t="str"/>
      <x:c r="U55" s="32" t="str"/>
      <x:c r="V55" s="38" t="str">
        <x:f>IFERROR(U55/T55,"")</x:f>
      </x:c>
      <x:c r="W55" s="32" t="str"/>
      <x:c r="X55" s="38" t="str">
        <x:f>IFERROR(W55/Q55,"")</x:f>
      </x:c>
      <x:c r="Y55" s="32" t="str"/>
      <x:c r="Z55" s="32" t="str"/>
      <x:c r="AA55" s="32" t="str"/>
      <x:c r="AB55" s="32" t="str"/>
      <x:c r="AC55" s="32" t="str"/>
      <x:c r="AD55" s="32" t="str"/>
      <x:c r="AE55" s="32" t="str"/>
      <x:c r="AF55" s="32" t="str"/>
      <x:c r="AG55" s="32" t="str"/>
      <x:c r="AH55" s="32" t="str"/>
      <x:c r="AI55" s="32" t="str"/>
      <x:c r="AJ55" s="32" t="str"/>
    </x:row>
    <x:row r="56">
      <x:c r="A56" s="32" t="str">
        <x:v>CA-019-T1</x:v>
      </x:c>
      <x:c r="B56" s="32" t="str">
        <x:v>CA-019</x:v>
      </x:c>
      <x:c r="C56" s="32" t="str">
        <x:v>Full Harness</x:v>
      </x:c>
      <x:c r="D56" s="32" t="n">
        <x:v>1</x:v>
      </x:c>
      <x:c r="E56" s="32" t="str"/>
      <x:c r="F56" s="32" t="str"/>
      <x:c r="G56" s="32" t="str"/>
      <x:c r="H56" s="32" t="str"/>
      <x:c r="I56" s="32" t="n">
        <x:f>IFERROR(VLOOKUP(B56,'问题集'!$A$2:$K$21,9,FALSE),"")</x:f>
        <x:v>0</x:v>
      </x:c>
      <x:c r="J56" s="38" t="str">
        <x:f>IFERROR(F56/I56,"")</x:f>
      </x:c>
      <x:c r="K56" s="38" t="str">
        <x:f>IFERROR(G56/I56,"")</x:f>
      </x:c>
      <x:c r="L56" s="38" t="str">
        <x:f>IF(F56="","",--(F56&gt;0))</x:f>
      </x:c>
      <x:c r="M56" s="38" t="str">
        <x:f>IFERROR(1/H56,"")</x:f>
      </x:c>
      <x:c r="N56" s="32" t="n">
        <x:f>IFERROR(VLOOKUP(B56,'问题集'!$A$2:$K$21,10,FALSE),"")</x:f>
        <x:v>1</x:v>
      </x:c>
      <x:c r="O56" s="32" t="str"/>
      <x:c r="P56" s="38" t="n">
        <x:f>IFERROR(O56/N56,"")</x:f>
        <x:v>0</x:v>
      </x:c>
      <x:c r="Q56" s="32" t="str"/>
      <x:c r="R56" s="32" t="str"/>
      <x:c r="S56" s="38" t="str">
        <x:f>IFERROR(R56/Q56,"")</x:f>
      </x:c>
      <x:c r="T56" s="32" t="str"/>
      <x:c r="U56" s="32" t="str"/>
      <x:c r="V56" s="38" t="str">
        <x:f>IFERROR(U56/T56,"")</x:f>
      </x:c>
      <x:c r="W56" s="32" t="str"/>
      <x:c r="X56" s="38" t="str">
        <x:f>IFERROR(W56/Q56,"")</x:f>
      </x:c>
      <x:c r="Y56" s="32" t="str"/>
      <x:c r="Z56" s="32" t="str"/>
      <x:c r="AA56" s="32" t="str"/>
      <x:c r="AB56" s="32" t="str"/>
      <x:c r="AC56" s="32" t="str"/>
      <x:c r="AD56" s="32" t="str"/>
      <x:c r="AE56" s="32" t="str"/>
      <x:c r="AF56" s="32" t="str"/>
      <x:c r="AG56" s="32" t="str"/>
      <x:c r="AH56" s="32" t="str"/>
      <x:c r="AI56" s="32" t="str"/>
      <x:c r="AJ56" s="32" t="str"/>
    </x:row>
    <x:row r="57">
      <x:c r="A57" s="32" t="str">
        <x:v>CA-019-T2</x:v>
      </x:c>
      <x:c r="B57" s="32" t="str">
        <x:v>CA-019</x:v>
      </x:c>
      <x:c r="C57" s="32" t="str">
        <x:v>Full Harness</x:v>
      </x:c>
      <x:c r="D57" s="32" t="n">
        <x:v>2</x:v>
      </x:c>
      <x:c r="E57" s="32" t="str"/>
      <x:c r="F57" s="32" t="str"/>
      <x:c r="G57" s="32" t="str"/>
      <x:c r="H57" s="32" t="str"/>
      <x:c r="I57" s="32" t="n">
        <x:f>IFERROR(VLOOKUP(B57,'问题集'!$A$2:$K$21,9,FALSE),"")</x:f>
        <x:v>0</x:v>
      </x:c>
      <x:c r="J57" s="38" t="str">
        <x:f>IFERROR(F57/I57,"")</x:f>
      </x:c>
      <x:c r="K57" s="38" t="str">
        <x:f>IFERROR(G57/I57,"")</x:f>
      </x:c>
      <x:c r="L57" s="38" t="str">
        <x:f>IF(F57="","",--(F57&gt;0))</x:f>
      </x:c>
      <x:c r="M57" s="38" t="str">
        <x:f>IFERROR(1/H57,"")</x:f>
      </x:c>
      <x:c r="N57" s="32" t="n">
        <x:f>IFERROR(VLOOKUP(B57,'问题集'!$A$2:$K$21,10,FALSE),"")</x:f>
        <x:v>1</x:v>
      </x:c>
      <x:c r="O57" s="32" t="str"/>
      <x:c r="P57" s="38" t="n">
        <x:f>IFERROR(O57/N57,"")</x:f>
        <x:v>0</x:v>
      </x:c>
      <x:c r="Q57" s="32" t="str"/>
      <x:c r="R57" s="32" t="str"/>
      <x:c r="S57" s="38" t="str">
        <x:f>IFERROR(R57/Q57,"")</x:f>
      </x:c>
      <x:c r="T57" s="32" t="str"/>
      <x:c r="U57" s="32" t="str"/>
      <x:c r="V57" s="38" t="str">
        <x:f>IFERROR(U57/T57,"")</x:f>
      </x:c>
      <x:c r="W57" s="32" t="str"/>
      <x:c r="X57" s="38" t="str">
        <x:f>IFERROR(W57/Q57,"")</x:f>
      </x:c>
      <x:c r="Y57" s="32" t="str"/>
      <x:c r="Z57" s="32" t="str"/>
      <x:c r="AA57" s="32" t="str"/>
      <x:c r="AB57" s="32" t="str"/>
      <x:c r="AC57" s="32" t="str"/>
      <x:c r="AD57" s="32" t="str"/>
      <x:c r="AE57" s="32" t="str"/>
      <x:c r="AF57" s="32" t="str"/>
      <x:c r="AG57" s="32" t="str"/>
      <x:c r="AH57" s="32" t="str"/>
      <x:c r="AI57" s="32" t="str"/>
      <x:c r="AJ57" s="32" t="str"/>
    </x:row>
    <x:row r="58">
      <x:c r="A58" s="32" t="str">
        <x:v>CA-019-T3</x:v>
      </x:c>
      <x:c r="B58" s="32" t="str">
        <x:v>CA-019</x:v>
      </x:c>
      <x:c r="C58" s="32" t="str">
        <x:v>Full Harness</x:v>
      </x:c>
      <x:c r="D58" s="32" t="n">
        <x:v>3</x:v>
      </x:c>
      <x:c r="E58" s="32" t="str"/>
      <x:c r="F58" s="32" t="str"/>
      <x:c r="G58" s="32" t="str"/>
      <x:c r="H58" s="32" t="str"/>
      <x:c r="I58" s="32" t="n">
        <x:f>IFERROR(VLOOKUP(B58,'问题集'!$A$2:$K$21,9,FALSE),"")</x:f>
        <x:v>0</x:v>
      </x:c>
      <x:c r="J58" s="38" t="str">
        <x:f>IFERROR(F58/I58,"")</x:f>
      </x:c>
      <x:c r="K58" s="38" t="str">
        <x:f>IFERROR(G58/I58,"")</x:f>
      </x:c>
      <x:c r="L58" s="38" t="str">
        <x:f>IF(F58="","",--(F58&gt;0))</x:f>
      </x:c>
      <x:c r="M58" s="38" t="str">
        <x:f>IFERROR(1/H58,"")</x:f>
      </x:c>
      <x:c r="N58" s="32" t="n">
        <x:f>IFERROR(VLOOKUP(B58,'问题集'!$A$2:$K$21,10,FALSE),"")</x:f>
        <x:v>1</x:v>
      </x:c>
      <x:c r="O58" s="32" t="str"/>
      <x:c r="P58" s="38" t="n">
        <x:f>IFERROR(O58/N58,"")</x:f>
        <x:v>0</x:v>
      </x:c>
      <x:c r="Q58" s="32" t="str"/>
      <x:c r="R58" s="32" t="str"/>
      <x:c r="S58" s="38" t="str">
        <x:f>IFERROR(R58/Q58,"")</x:f>
      </x:c>
      <x:c r="T58" s="32" t="str"/>
      <x:c r="U58" s="32" t="str"/>
      <x:c r="V58" s="38" t="str">
        <x:f>IFERROR(U58/T58,"")</x:f>
      </x:c>
      <x:c r="W58" s="32" t="str"/>
      <x:c r="X58" s="38" t="str">
        <x:f>IFERROR(W58/Q58,"")</x:f>
      </x:c>
      <x:c r="Y58" s="32" t="str"/>
      <x:c r="Z58" s="32" t="str"/>
      <x:c r="AA58" s="32" t="str"/>
      <x:c r="AB58" s="32" t="str"/>
      <x:c r="AC58" s="32" t="str"/>
      <x:c r="AD58" s="32" t="str"/>
      <x:c r="AE58" s="32" t="str"/>
      <x:c r="AF58" s="32" t="str"/>
      <x:c r="AG58" s="32" t="str"/>
      <x:c r="AH58" s="32" t="str"/>
      <x:c r="AI58" s="32" t="str"/>
      <x:c r="AJ58" s="32" t="str"/>
    </x:row>
    <x:row r="59">
      <x:c r="A59" s="32" t="str">
        <x:v>CA-020-T1</x:v>
      </x:c>
      <x:c r="B59" s="32" t="str">
        <x:v>CA-020</x:v>
      </x:c>
      <x:c r="C59" s="32" t="str">
        <x:v>Full Harness</x:v>
      </x:c>
      <x:c r="D59" s="32" t="n">
        <x:v>1</x:v>
      </x:c>
      <x:c r="E59" s="32" t="str"/>
      <x:c r="F59" s="32" t="str"/>
      <x:c r="G59" s="32" t="str"/>
      <x:c r="H59" s="32" t="str"/>
      <x:c r="I59" s="32" t="n">
        <x:f>IFERROR(VLOOKUP(B59,'问题集'!$A$2:$K$21,9,FALSE),"")</x:f>
        <x:v>0</x:v>
      </x:c>
      <x:c r="J59" s="38" t="str">
        <x:f>IFERROR(F59/I59,"")</x:f>
      </x:c>
      <x:c r="K59" s="38" t="str">
        <x:f>IFERROR(G59/I59,"")</x:f>
      </x:c>
      <x:c r="L59" s="38" t="str">
        <x:f>IF(F59="","",--(F59&gt;0))</x:f>
      </x:c>
      <x:c r="M59" s="38" t="str">
        <x:f>IFERROR(1/H59,"")</x:f>
      </x:c>
      <x:c r="N59" s="32" t="n">
        <x:f>IFERROR(VLOOKUP(B59,'问题集'!$A$2:$K$21,10,FALSE),"")</x:f>
        <x:v>1</x:v>
      </x:c>
      <x:c r="O59" s="32" t="str"/>
      <x:c r="P59" s="38" t="n">
        <x:f>IFERROR(O59/N59,"")</x:f>
        <x:v>0</x:v>
      </x:c>
      <x:c r="Q59" s="32" t="str"/>
      <x:c r="R59" s="32" t="str"/>
      <x:c r="S59" s="38" t="str">
        <x:f>IFERROR(R59/Q59,"")</x:f>
      </x:c>
      <x:c r="T59" s="32" t="str"/>
      <x:c r="U59" s="32" t="str"/>
      <x:c r="V59" s="38" t="str">
        <x:f>IFERROR(U59/T59,"")</x:f>
      </x:c>
      <x:c r="W59" s="32" t="str"/>
      <x:c r="X59" s="38" t="str">
        <x:f>IFERROR(W59/Q59,"")</x:f>
      </x:c>
      <x:c r="Y59" s="32" t="str"/>
      <x:c r="Z59" s="32" t="str"/>
      <x:c r="AA59" s="32" t="str"/>
      <x:c r="AB59" s="32" t="str"/>
      <x:c r="AC59" s="32" t="str"/>
      <x:c r="AD59" s="32" t="str"/>
      <x:c r="AE59" s="32" t="str"/>
      <x:c r="AF59" s="32" t="str"/>
      <x:c r="AG59" s="32" t="str"/>
      <x:c r="AH59" s="32" t="str"/>
      <x:c r="AI59" s="32" t="str"/>
      <x:c r="AJ59" s="32" t="str"/>
    </x:row>
    <x:row r="60">
      <x:c r="A60" s="32" t="str">
        <x:v>CA-020-T2</x:v>
      </x:c>
      <x:c r="B60" s="32" t="str">
        <x:v>CA-020</x:v>
      </x:c>
      <x:c r="C60" s="32" t="str">
        <x:v>Full Harness</x:v>
      </x:c>
      <x:c r="D60" s="32" t="n">
        <x:v>2</x:v>
      </x:c>
      <x:c r="E60" s="32" t="str"/>
      <x:c r="F60" s="32" t="str"/>
      <x:c r="G60" s="32" t="str"/>
      <x:c r="H60" s="32" t="str"/>
      <x:c r="I60" s="32" t="n">
        <x:f>IFERROR(VLOOKUP(B60,'问题集'!$A$2:$K$21,9,FALSE),"")</x:f>
        <x:v>0</x:v>
      </x:c>
      <x:c r="J60" s="38" t="str">
        <x:f>IFERROR(F60/I60,"")</x:f>
      </x:c>
      <x:c r="K60" s="38" t="str">
        <x:f>IFERROR(G60/I60,"")</x:f>
      </x:c>
      <x:c r="L60" s="38" t="str">
        <x:f>IF(F60="","",--(F60&gt;0))</x:f>
      </x:c>
      <x:c r="M60" s="38" t="str">
        <x:f>IFERROR(1/H60,"")</x:f>
      </x:c>
      <x:c r="N60" s="32" t="n">
        <x:f>IFERROR(VLOOKUP(B60,'问题集'!$A$2:$K$21,10,FALSE),"")</x:f>
        <x:v>1</x:v>
      </x:c>
      <x:c r="O60" s="32" t="str"/>
      <x:c r="P60" s="38" t="n">
        <x:f>IFERROR(O60/N60,"")</x:f>
        <x:v>0</x:v>
      </x:c>
      <x:c r="Q60" s="32" t="str"/>
      <x:c r="R60" s="32" t="str"/>
      <x:c r="S60" s="38" t="str">
        <x:f>IFERROR(R60/Q60,"")</x:f>
      </x:c>
      <x:c r="T60" s="32" t="str"/>
      <x:c r="U60" s="32" t="str"/>
      <x:c r="V60" s="38" t="str">
        <x:f>IFERROR(U60/T60,"")</x:f>
      </x:c>
      <x:c r="W60" s="32" t="str"/>
      <x:c r="X60" s="38" t="str">
        <x:f>IFERROR(W60/Q60,"")</x:f>
      </x:c>
      <x:c r="Y60" s="32" t="str"/>
      <x:c r="Z60" s="32" t="str"/>
      <x:c r="AA60" s="32" t="str"/>
      <x:c r="AB60" s="32" t="str"/>
      <x:c r="AC60" s="32" t="str"/>
      <x:c r="AD60" s="32" t="str"/>
      <x:c r="AE60" s="32" t="str"/>
      <x:c r="AF60" s="32" t="str"/>
      <x:c r="AG60" s="32" t="str"/>
      <x:c r="AH60" s="32" t="str"/>
      <x:c r="AI60" s="32" t="str"/>
      <x:c r="AJ60" s="32" t="str"/>
    </x:row>
    <x:row r="61">
      <x:c r="A61" s="33" t="str">
        <x:v>CA-020-T3</x:v>
      </x:c>
      <x:c r="B61" s="33" t="str">
        <x:v>CA-020</x:v>
      </x:c>
      <x:c r="C61" s="33" t="str">
        <x:v>Full Harness</x:v>
      </x:c>
      <x:c r="D61" s="33" t="n">
        <x:v>3</x:v>
      </x:c>
      <x:c r="E61" s="33" t="str"/>
      <x:c r="F61" s="33" t="str"/>
      <x:c r="G61" s="33" t="str"/>
      <x:c r="H61" s="33" t="str"/>
      <x:c r="I61" s="33" t="n">
        <x:f>IFERROR(VLOOKUP(B61,'问题集'!$A$2:$K$21,9,FALSE),"")</x:f>
        <x:v>0</x:v>
      </x:c>
      <x:c r="J61" s="39" t="str">
        <x:f>IFERROR(F61/I61,"")</x:f>
      </x:c>
      <x:c r="K61" s="39" t="str">
        <x:f>IFERROR(G61/I61,"")</x:f>
      </x:c>
      <x:c r="L61" s="39" t="str">
        <x:f>IF(F61="","",--(F61&gt;0))</x:f>
      </x:c>
      <x:c r="M61" s="39" t="str">
        <x:f>IFERROR(1/H61,"")</x:f>
      </x:c>
      <x:c r="N61" s="33" t="n">
        <x:f>IFERROR(VLOOKUP(B61,'问题集'!$A$2:$K$21,10,FALSE),"")</x:f>
        <x:v>1</x:v>
      </x:c>
      <x:c r="O61" s="33" t="str"/>
      <x:c r="P61" s="39" t="n">
        <x:f>IFERROR(O61/N61,"")</x:f>
        <x:v>0</x:v>
      </x:c>
      <x:c r="Q61" s="33" t="str"/>
      <x:c r="R61" s="33" t="str"/>
      <x:c r="S61" s="39" t="str">
        <x:f>IFERROR(R61/Q61,"")</x:f>
      </x:c>
      <x:c r="T61" s="33" t="str"/>
      <x:c r="U61" s="33" t="str"/>
      <x:c r="V61" s="39" t="str">
        <x:f>IFERROR(U61/T61,"")</x:f>
      </x:c>
      <x:c r="W61" s="33" t="str"/>
      <x:c r="X61" s="39" t="str">
        <x:f>IFERROR(W61/Q61,"")</x:f>
      </x:c>
      <x:c r="Y61" s="33" t="str"/>
      <x:c r="Z61" s="33" t="str"/>
      <x:c r="AA61" s="33" t="str"/>
      <x:c r="AB61" s="33" t="str"/>
      <x:c r="AC61" s="33" t="str"/>
      <x:c r="AD61" s="33" t="str"/>
      <x:c r="AE61" s="33" t="str"/>
      <x:c r="AF61" s="33" t="str"/>
      <x:c r="AG61" s="33" t="str"/>
      <x:c r="AH61" s="33" t="str"/>
      <x:c r="AI61" s="33" t="str"/>
      <x:c r="AJ61" s="33" t="str"/>
    </x:row>
  </x:sheetData>
  <x:conditionalFormatting sqref="E2:E61">
    <x:cfRule type="containsText" dxfId="1" priority="1" operator="containsText" text="FAILED"/>
    <x:cfRule type="containsText" dxfId="2" priority="2" operator="containsText" text="COMPLETED"/>
  </x:conditionalFormatting>
  <x:conditionalFormatting sqref="J2:J61">
    <x:cfRule type="colorScale" priority="3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P2:P61">
    <x:cfRule type="colorScale" priority="4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S2:S61">
    <x:cfRule type="colorScale" priority="5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dataValidations count="3">
    <x:dataValidation type="list" sqref="C2:C61">
      <x:formula1>"Dense,BM25,Hybrid,Hybrid+Parent,Full Harness,No Critic"</x:formula1>
    </x:dataValidation>
    <x:dataValidation type="list" sqref="E2:E61">
      <x:formula1>"COMPLETED,FAILED,CANCELLED,BUDGET_EXCEEDED"</x:formula1>
    </x:dataValidation>
    <x:dataValidation type="list" sqref="AG2:AG61">
      <x:formula1>"是,否,未执行"</x:formula1>
    </x:dataValidation>
  </x:dataValidations>
  <x:pageMargins left="0.7" right="0.7" top="0.75" bottom="0.75" header="0.3" footer="0.3"/>
</x:worksheet>
</file>